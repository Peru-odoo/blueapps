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V:\Isabelle Docs\Desktop\OPERACIONAL\BANCOS\ÁGUIAS\"/>
    </mc:Choice>
  </mc:AlternateContent>
  <bookViews>
    <workbookView xWindow="0" yWindow="0" windowWidth="24000" windowHeight="9630"/>
  </bookViews>
  <sheets>
    <sheet name="Ficha" sheetId="4" r:id="rId1"/>
    <sheet name="Contrato" sheetId="5" r:id="rId2"/>
    <sheet name="Promissória" sheetId="7" r:id="rId3"/>
  </sheets>
  <functionGroups builtInGroupCount="18"/>
  <definedNames>
    <definedName name="_xlnm.Print_Area" localSheetId="0">Ficha!$A$1:$I$49</definedName>
  </definedNames>
  <calcPr calcId="162913"/>
</workbook>
</file>

<file path=xl/calcChain.xml><?xml version="1.0" encoding="utf-8"?>
<calcChain xmlns="http://schemas.openxmlformats.org/spreadsheetml/2006/main">
  <c r="A63" i="5" l="1"/>
  <c r="C23" i="4" l="1"/>
  <c r="H45" i="4" l="1"/>
  <c r="C21" i="4"/>
  <c r="G17" i="4" l="1"/>
  <c r="C19" i="4" l="1"/>
  <c r="B38" i="4"/>
  <c r="C38" i="4"/>
  <c r="C20" i="4" l="1"/>
  <c r="A9" i="5"/>
  <c r="B10" i="5"/>
  <c r="C11" i="7" l="1"/>
  <c r="C6" i="5"/>
  <c r="H12" i="4"/>
  <c r="H3" i="7" l="1"/>
  <c r="G7" i="5"/>
  <c r="F14" i="7"/>
  <c r="F114" i="5"/>
  <c r="C4" i="7" l="1"/>
  <c r="C9" i="7"/>
  <c r="C10" i="7"/>
  <c r="B6" i="7"/>
  <c r="D5" i="7"/>
  <c r="F10" i="5"/>
  <c r="F8" i="5"/>
  <c r="C8" i="5"/>
  <c r="B106" i="5" s="1"/>
  <c r="A105" i="5"/>
  <c r="D63" i="5"/>
  <c r="E7" i="7" l="1"/>
</calcChain>
</file>

<file path=xl/sharedStrings.xml><?xml version="1.0" encoding="utf-8"?>
<sst xmlns="http://schemas.openxmlformats.org/spreadsheetml/2006/main" count="114" uniqueCount="103">
  <si>
    <t>CLIENTE:</t>
  </si>
  <si>
    <t>SECRETARIA:</t>
  </si>
  <si>
    <t>CONVÊNIO:</t>
  </si>
  <si>
    <t>MATRICULA:</t>
  </si>
  <si>
    <t>CPF:</t>
  </si>
  <si>
    <t>RG:</t>
  </si>
  <si>
    <t>NASCIMENTO:</t>
  </si>
  <si>
    <t>IDADE:</t>
  </si>
  <si>
    <t>ENDEREÇO:</t>
  </si>
  <si>
    <t>TELEFONE(S):</t>
  </si>
  <si>
    <t>DADOS DA OPERAÇÃO</t>
  </si>
  <si>
    <t>T.SERVIÇO</t>
  </si>
  <si>
    <t>MARGEM DISPONÍVEL:</t>
  </si>
  <si>
    <t>BANCO:</t>
  </si>
  <si>
    <t>PRAZO:</t>
  </si>
  <si>
    <t>VALOR DA PARCELA:</t>
  </si>
  <si>
    <t>SALDO DEVEDOR:</t>
  </si>
  <si>
    <t>VALOR SOLICITADO:</t>
  </si>
  <si>
    <t>CONTRATO:</t>
  </si>
  <si>
    <t>CONSULTORIA:</t>
  </si>
  <si>
    <t>VALOR LÍQUIDO GERAL:</t>
  </si>
  <si>
    <t>VALOR LÍQUIDO CLIENTE:</t>
  </si>
  <si>
    <t>NOVO CONTRATO:</t>
  </si>
  <si>
    <t>DADOS BANCÁRIOS</t>
  </si>
  <si>
    <t>AGÊNCIA:</t>
  </si>
  <si>
    <t>CONTA:</t>
  </si>
  <si>
    <t>TIPO DE CONTA:</t>
  </si>
  <si>
    <t>EMAIL:</t>
  </si>
  <si>
    <t>PRAZO/PAGAS/ABERTO:</t>
  </si>
  <si>
    <t>SENHA(S):</t>
  </si>
  <si>
    <t>MARGEM AGREGADA:</t>
  </si>
  <si>
    <t>AGREGAR?</t>
  </si>
  <si>
    <t>ACEITE:</t>
  </si>
  <si>
    <t>PROPOSTA DE CRÉDITO CONSIGNADO:</t>
  </si>
  <si>
    <t>INVESTIMENTO:</t>
  </si>
  <si>
    <t>Nº CONTRATO</t>
  </si>
  <si>
    <t>IDENTIFICAÇÃO DAS PARTES:</t>
  </si>
  <si>
    <t>CONTRATANTE:</t>
  </si>
  <si>
    <t xml:space="preserve">De nacionalidade BRASILEIRA, estado civil </t>
  </si>
  <si>
    <t>Profissão</t>
  </si>
  <si>
    <t>inscrito no CPF nº.</t>
  </si>
  <si>
    <t xml:space="preserve">RG nº. </t>
  </si>
  <si>
    <t>residente e domiciliado à</t>
  </si>
  <si>
    <t>telefone</t>
  </si>
  <si>
    <t>e-mail</t>
  </si>
  <si>
    <t>• DO PREÇO E DAS CONDIÇÕES DE PAGAMENTO</t>
  </si>
  <si>
    <t xml:space="preserve">referente aos serviços efetivamente prestados, devendo ser pago em dinheiro ou cheque, ou outra forma de pagamento em que ocorra a prévia concordância de ambas as partes. </t>
  </si>
  <si>
    <t>• DO INADIMPLEMENTO, DO DESCUMPRIMENTO, DA MULTA E DA NEGATIVAÇÃO</t>
  </si>
  <si>
    <t>• DA RESCISÃO IMOTIVADA</t>
  </si>
  <si>
    <t>• DO PRAZO</t>
  </si>
  <si>
    <t>• DAS CONDIÇÕES GERAIS</t>
  </si>
  <si>
    <t>• DO FORO</t>
  </si>
  <si>
    <t>CONTRATADO:</t>
  </si>
  <si>
    <t xml:space="preserve">TESTEMUNHA </t>
  </si>
  <si>
    <t>RG</t>
  </si>
  <si>
    <t>NOTA PROMISSÓRIA
1/1</t>
  </si>
  <si>
    <t>VENCIMENTO:</t>
  </si>
  <si>
    <t>VALOR:</t>
  </si>
  <si>
    <t xml:space="preserve">Em, </t>
  </si>
  <si>
    <t>pagar por esta via de</t>
  </si>
  <si>
    <t xml:space="preserve">Ou à sua ordem a quantia de: </t>
  </si>
  <si>
    <t>Emitente:</t>
  </si>
  <si>
    <t>Endereço:</t>
  </si>
  <si>
    <t>NOTA PROMISSÓRIA À:</t>
  </si>
  <si>
    <t>Salvador - Bahia,</t>
  </si>
  <si>
    <t>_______________________________________________________________</t>
  </si>
  <si>
    <t xml:space="preserve">                          REPÚBLICA FEDERATIVA DO BRASIL</t>
  </si>
  <si>
    <r>
      <rPr>
        <b/>
        <sz val="9"/>
        <color theme="1"/>
        <rFont val="Tw Cen MT"/>
        <family val="2"/>
      </rPr>
      <t>Cláusula 13ª.</t>
    </r>
    <r>
      <rPr>
        <sz val="9"/>
        <color theme="1"/>
        <rFont val="Tw Cen MT"/>
        <family val="2"/>
      </rPr>
      <t xml:space="preserve"> Fica compactuado entre as partes a total inexistência de vínculo trabalhista entre as partes contratantes, excluindo as obrigações previdenciárias e os encargos sociais, não havendo entre </t>
    </r>
    <r>
      <rPr>
        <b/>
        <sz val="9"/>
        <color theme="1"/>
        <rFont val="Tw Cen MT"/>
        <family val="2"/>
      </rPr>
      <t>CONTRATADO</t>
    </r>
    <r>
      <rPr>
        <sz val="9"/>
        <color theme="1"/>
        <rFont val="Tw Cen MT"/>
        <family val="2"/>
      </rPr>
      <t xml:space="preserve"> e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qualquer tipo de relação de subordinação. 
</t>
    </r>
    <r>
      <rPr>
        <b/>
        <sz val="9"/>
        <color theme="1"/>
        <rFont val="Tw Cen MT"/>
        <family val="2"/>
      </rPr>
      <t>Cláusula 14ª.</t>
    </r>
    <r>
      <rPr>
        <sz val="9"/>
        <color theme="1"/>
        <rFont val="Tw Cen MT"/>
        <family val="2"/>
      </rPr>
      <t xml:space="preserve"> Este contrato deverá ser registrado no Cartório de Registro de Títulos e Documentos.
</t>
    </r>
  </si>
  <si>
    <r>
      <rPr>
        <b/>
        <sz val="9"/>
        <color theme="1"/>
        <rFont val="Tw Cen MT"/>
        <family val="2"/>
      </rPr>
      <t>Cláusula12ª.</t>
    </r>
    <r>
      <rPr>
        <sz val="9"/>
        <color theme="1"/>
        <rFont val="Tw Cen MT"/>
        <family val="2"/>
      </rPr>
      <t xml:space="preserve"> O CONTRATADO assume o compromisso de realizar o serviço dentro do prazo de _________________________, de acordo com a forma estabelecida no presente contrato.</t>
    </r>
  </si>
  <si>
    <r>
      <rPr>
        <b/>
        <sz val="9"/>
        <color theme="1"/>
        <rFont val="Tw Cen MT"/>
        <family val="2"/>
      </rPr>
      <t xml:space="preserve">Cláusula 9ª. </t>
    </r>
    <r>
      <rPr>
        <sz val="9"/>
        <color theme="1"/>
        <rFont val="Tw Cen MT"/>
        <family val="2"/>
      </rPr>
      <t xml:space="preserve">Poderá o presente instrumento ser rescindido por qualquer uma das partes, em qualquer momento, sem que haja qualquer tipo de motivo relevante, não obstante a outra parte deverá ser avisada previamente por escrito, no prazo de (                        ) dias.
</t>
    </r>
    <r>
      <rPr>
        <b/>
        <sz val="9"/>
        <color theme="1"/>
        <rFont val="Tw Cen MT"/>
        <family val="2"/>
      </rPr>
      <t>Cláusula 10ª.</t>
    </r>
    <r>
      <rPr>
        <sz val="9"/>
        <color theme="1"/>
        <rFont val="Tw Cen MT"/>
        <family val="2"/>
      </rPr>
      <t xml:space="preserve"> Caso o CONTRATANTE já tenha realizado o pagamento pelo serviço, e mesmo assim, requisite a rescisão imotivada do presente contrato, terá o valor da quantia paga devolvido, deduzindo-se 10% de taxas administrativas. 
</t>
    </r>
    <r>
      <rPr>
        <b/>
        <sz val="9"/>
        <color theme="1"/>
        <rFont val="Tw Cen MT"/>
        <family val="2"/>
      </rPr>
      <t>Cláusula 11ª.</t>
    </r>
    <r>
      <rPr>
        <sz val="9"/>
        <color theme="1"/>
        <rFont val="Tw Cen MT"/>
        <family val="2"/>
      </rPr>
      <t xml:space="preserve"> Caso seja o CONTRATADO quem requeira a rescisão imotivada, deverá devolver a quantia que se refere aos serviços por ele não prestados ao CONTRATANTE, acrescentado de 10% de taxas administrativas. 
</t>
    </r>
  </si>
  <si>
    <r>
      <rPr>
        <b/>
        <sz val="9"/>
        <color theme="1"/>
        <rFont val="Tw Cen MT"/>
        <family val="2"/>
      </rPr>
      <t>Cláusula 8ª.</t>
    </r>
    <r>
      <rPr>
        <sz val="9"/>
        <color theme="1"/>
        <rFont val="Tw Cen MT"/>
        <family val="2"/>
      </rPr>
      <t xml:space="preserve"> No caso de não haver o cumprimento de qualquer uma das cláusulas, exceto a 6ª, do presente instrumento, a parte que não cumpriu deverá pagar uma multa de 10% do valor do contrato para a outra parte.
</t>
    </r>
    <r>
      <rPr>
        <b/>
        <sz val="9"/>
        <color theme="1"/>
        <rFont val="Tw Cen MT"/>
        <family val="2"/>
      </rPr>
      <t>Parágrafo único. Nos casos em ocorra inadimplemento do pagamento em face aos serviços prestados, fica autorizado o contratante/intermediador inserir os dados cadastrais do contratante nos termos do presente contrato nos órgão de proteção ao crédito.</t>
    </r>
    <r>
      <rPr>
        <sz val="9"/>
        <color theme="1"/>
        <rFont val="Tw Cen MT"/>
        <family val="2"/>
      </rPr>
      <t xml:space="preserve">
</t>
    </r>
  </si>
  <si>
    <r>
      <rPr>
        <b/>
        <sz val="9"/>
        <color theme="1"/>
        <rFont val="Tw Cen MT"/>
        <family val="2"/>
      </rPr>
      <t>Cláusula 6ª.</t>
    </r>
    <r>
      <rPr>
        <sz val="9"/>
        <color theme="1"/>
        <rFont val="Tw Cen MT"/>
        <family val="2"/>
      </rPr>
      <t xml:space="preserve"> O presente serviço será remunerado pela quantia de:</t>
    </r>
  </si>
  <si>
    <r>
      <rPr>
        <b/>
        <sz val="9"/>
        <color theme="1"/>
        <rFont val="Tw Cen MT"/>
        <family val="2"/>
      </rPr>
      <t>Cláusula 4ª. Do CONTRATADO</t>
    </r>
    <r>
      <rPr>
        <sz val="9"/>
        <color theme="1"/>
        <rFont val="Tw Cen MT"/>
        <family val="2"/>
      </rPr>
      <t xml:space="preserve"> é dever apresentar ao contratante a cópia do presente instrumento, contendo todas as especificidades da prestação de serviço contratada. 
</t>
    </r>
    <r>
      <rPr>
        <b/>
        <sz val="9"/>
        <color theme="1"/>
        <rFont val="Tw Cen MT"/>
        <family val="2"/>
      </rPr>
      <t>Cláusula 5ª. O CONTRATADO</t>
    </r>
    <r>
      <rPr>
        <sz val="9"/>
        <color theme="1"/>
        <rFont val="Tw Cen MT"/>
        <family val="2"/>
      </rPr>
      <t xml:space="preserve"> deverá fornecer Recibo de Serviços, referente ao(s) pagamento(s) efetuado(s) pelo CONTRATANTE. 
</t>
    </r>
  </si>
  <si>
    <r>
      <rPr>
        <b/>
        <sz val="9"/>
        <color theme="1"/>
        <rFont val="Tw Cen MT"/>
        <family val="2"/>
      </rPr>
      <t>Cláusula 2ª. O CONTRATANTE</t>
    </r>
    <r>
      <rPr>
        <sz val="9"/>
        <color theme="1"/>
        <rFont val="Tw Cen MT"/>
        <family val="2"/>
      </rPr>
      <t xml:space="preserve"> deverá fornecer ao </t>
    </r>
    <r>
      <rPr>
        <b/>
        <sz val="9"/>
        <color theme="1"/>
        <rFont val="Tw Cen MT"/>
        <family val="2"/>
      </rPr>
      <t>CONTRATADO</t>
    </r>
    <r>
      <rPr>
        <sz val="9"/>
        <color theme="1"/>
        <rFont val="Tw Cen MT"/>
        <family val="2"/>
      </rPr>
      <t xml:space="preserve"> Incluem-se na prestação de serviços pelo  </t>
    </r>
    <r>
      <rPr>
        <b/>
        <sz val="9"/>
        <color theme="1"/>
        <rFont val="Tw Cen MT"/>
        <family val="2"/>
      </rPr>
      <t>INTERMEDIADOR</t>
    </r>
    <r>
      <rPr>
        <sz val="9"/>
        <color theme="1"/>
        <rFont val="Tw Cen MT"/>
        <family val="2"/>
      </rPr>
      <t xml:space="preserve">  a  pesquisa e busca no mercado por linhas de crédito e/ou capital em favor da  </t>
    </r>
    <r>
      <rPr>
        <b/>
        <sz val="9"/>
        <color theme="1"/>
        <rFont val="Tw Cen MT"/>
        <family val="2"/>
      </rPr>
      <t>CONTRATANTE,</t>
    </r>
    <r>
      <rPr>
        <sz val="9"/>
        <color theme="1"/>
        <rFont val="Tw Cen MT"/>
        <family val="2"/>
      </rPr>
      <t xml:space="preserve"> bem como a organização   de   documentos   a   serem   apresentados   nas   negociações   com   instituições financeiras e investidores institucionais, assessoria nas tomadas de decisões durante as negociações   acerca   de   aspectos   econômico-financeiros   da   captação   de   recursos   e condições de pagamento.
Caso seja de   interesse   das </t>
    </r>
    <r>
      <rPr>
        <b/>
        <sz val="9"/>
        <color theme="1"/>
        <rFont val="Tw Cen MT"/>
        <family val="2"/>
      </rPr>
      <t>PARTES, o INTERMEDIADOR</t>
    </r>
    <r>
      <rPr>
        <sz val="9"/>
        <color theme="1"/>
        <rFont val="Tw Cen MT"/>
        <family val="2"/>
      </rPr>
      <t xml:space="preserve"> poderá ser incluído em negociações para captação de recursos financeiros em favor da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que já se encontravam em andamento em momento anterior à assinatura do presente Contrato, estendendo a eficácia integral e plena de suas disposições para tais negociações.
O presente Contrato constitui permissão concedida pela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 xml:space="preserve"> para que o </t>
    </r>
    <r>
      <rPr>
        <b/>
        <sz val="9"/>
        <color theme="1"/>
        <rFont val="Tw Cen MT"/>
        <family val="2"/>
      </rPr>
      <t>CONTRATADO/INTERMEDIADOR</t>
    </r>
    <r>
      <rPr>
        <sz val="9"/>
        <color theme="1"/>
        <rFont val="Tw Cen MT"/>
        <family val="2"/>
      </rPr>
      <t>, sem vínculo de mandato ou subordinação, angariar em seu favor os negócios referidos acima, exercendo atividades de corretagem nos termos dos artigos 722 e seguintes da</t>
    </r>
    <r>
      <rPr>
        <b/>
        <sz val="9"/>
        <color theme="1"/>
        <rFont val="Tw Cen MT"/>
        <family val="2"/>
      </rPr>
      <t xml:space="preserve"> Lei Federal nº. 10.406/2002 (Código Civil de 2002). Cláusula 3ª. O CONTRATANTE</t>
    </r>
    <r>
      <rPr>
        <sz val="9"/>
        <color theme="1"/>
        <rFont val="Tw Cen MT"/>
        <family val="2"/>
      </rPr>
      <t xml:space="preserve"> deverá efetuar o </t>
    </r>
    <r>
      <rPr>
        <b/>
        <sz val="9"/>
        <color theme="1"/>
        <rFont val="Tw Cen MT"/>
        <family val="2"/>
      </rPr>
      <t>pagamento/REPASSE DOS SERVIÇOS PRESTADOS</t>
    </r>
    <r>
      <rPr>
        <sz val="9"/>
        <color theme="1"/>
        <rFont val="Tw Cen MT"/>
        <family val="2"/>
      </rPr>
      <t xml:space="preserve"> na forma e condições estabelecidas na</t>
    </r>
    <r>
      <rPr>
        <b/>
        <sz val="9"/>
        <color theme="1"/>
        <rFont val="Tw Cen MT"/>
        <family val="2"/>
      </rPr>
      <t xml:space="preserve"> cláusula 6ª. </t>
    </r>
    <r>
      <rPr>
        <sz val="9"/>
        <color theme="1"/>
        <rFont val="Tw Cen MT"/>
        <family val="2"/>
      </rPr>
      <t xml:space="preserve">
</t>
    </r>
  </si>
  <si>
    <r>
      <t>Cláusula 1ª</t>
    </r>
    <r>
      <rPr>
        <sz val="9"/>
        <color theme="1"/>
        <rFont val="Tw Cen MT"/>
        <family val="2"/>
      </rPr>
      <t xml:space="preserve">. O presente contrato tem como objeto a prestação de serviços de consultoria, corretagem, assessoria, intermediação, pagamentos de títulos diversos, boletos e em conta corrente (Dívida juntos às Instituições Financeiras) realizados pelo </t>
    </r>
    <r>
      <rPr>
        <b/>
        <sz val="9"/>
        <color theme="1"/>
        <rFont val="Tw Cen MT"/>
        <family val="2"/>
      </rPr>
      <t>CONTRATADO/INTERMEDIADOR</t>
    </r>
    <r>
      <rPr>
        <sz val="9"/>
        <color theme="1"/>
        <rFont val="Tw Cen MT"/>
        <family val="2"/>
      </rPr>
      <t xml:space="preserve">, para a captação de recursos financeiros (linhas de crédito CONSIGANADO EM FOLHA, DÉBITO EM CONTA, CARNÊ, CHEQUE E DENTRE OUTROS) e/ou investimentos (capital) junto a instituições financeiras, investidores institucionais e outros agentes econômicos que se interessem em conceder crédito e/ou capital em favor da </t>
    </r>
    <r>
      <rPr>
        <b/>
        <sz val="9"/>
        <color theme="1"/>
        <rFont val="Tw Cen MT"/>
        <family val="2"/>
      </rPr>
      <t>CONTRATANTE</t>
    </r>
    <r>
      <rPr>
        <sz val="9"/>
        <color theme="1"/>
        <rFont val="Tw Cen MT"/>
        <family val="2"/>
      </rPr>
      <t>.</t>
    </r>
  </si>
  <si>
    <r>
      <rPr>
        <b/>
        <sz val="9"/>
        <color theme="1"/>
        <rFont val="Tw Cen MT"/>
        <family val="2"/>
      </rPr>
      <t xml:space="preserve">Cláusula 15ª. </t>
    </r>
    <r>
      <rPr>
        <sz val="9"/>
        <color theme="1"/>
        <rFont val="Tw Cen MT"/>
        <family val="2"/>
      </rPr>
      <t xml:space="preserve">Para dirimir quaisquer controvérsias oriundas do presente contrato, as partes elegem o foro da comarca de SALVADOR.
Por estarem assim justos e contratados, firmam o presente instrumento, em duas vias de igual teor, juntamente com 2 (duas) testemunhas. 
</t>
    </r>
  </si>
  <si>
    <t>• OBRIGAÇÕES DO CONTRATADO</t>
  </si>
  <si>
    <r>
      <t xml:space="preserve">• </t>
    </r>
    <r>
      <rPr>
        <b/>
        <sz val="10"/>
        <color theme="1"/>
        <rFont val="Tw Cen MT"/>
        <family val="2"/>
      </rPr>
      <t xml:space="preserve">OBRIGAÇÕES DO CONTRATANTE </t>
    </r>
  </si>
  <si>
    <r>
      <t xml:space="preserve">• </t>
    </r>
    <r>
      <rPr>
        <b/>
        <sz val="10"/>
        <color theme="1"/>
        <rFont val="Tw Cen MT"/>
        <family val="2"/>
      </rPr>
      <t xml:space="preserve">DO OBJETO DO CONTRATO </t>
    </r>
  </si>
  <si>
    <r>
      <rPr>
        <b/>
        <sz val="9"/>
        <color theme="1"/>
        <rFont val="Tw Cen MT"/>
        <family val="2"/>
      </rPr>
      <t>CONTRATADO INTERMEDIADOR:/: FÊNIX CONSULTORIA, ASSESSORIA E INTERMEDIÇÃO DE SERVIÇOS</t>
    </r>
    <r>
      <rPr>
        <sz val="9"/>
        <color theme="1"/>
        <rFont val="Tw Cen MT"/>
        <family val="2"/>
      </rPr>
      <t xml:space="preserve">, Pessoa Jurídica de Direito Privado, inscrito (a) CNPJ nº. 32.301.942/0001-04, com escritório Avenida Estados Unidos, Ed. Cidade de Aracaju, n° 258- Sala 403- Comércio Salvador/BA, e-mail: fenix.consultoria.assessoria@hotmail.com. As partes acima identificadas têm, entre si, justas e acertadas o presente </t>
    </r>
    <r>
      <rPr>
        <b/>
        <u/>
        <sz val="9"/>
        <color theme="1"/>
        <rFont val="Tw Cen MT"/>
        <family val="2"/>
      </rPr>
      <t>Contrato de Prestação DE SERVICOS DE CONSULTORIA, CORRETAGEM, ASSESSORIA E INTERMEDIAÇÃO PARA CAPTAÇÃO DE RECURSOS FINANCEIROS E/OU INVESTIMENTOS</t>
    </r>
    <r>
      <rPr>
        <sz val="9"/>
        <color theme="1"/>
        <rFont val="Tw Cen MT"/>
        <family val="2"/>
      </rPr>
      <t>, que se regerá pelas cláusulas seguintes e pelas condições de preço, forma e termo do pagamento descrito no presente.</t>
    </r>
  </si>
  <si>
    <t>FÊNIX CONSULTORIA, ASSESSORIA E INTERMEDIÇÃO DE SERVIÇOS</t>
  </si>
  <si>
    <t>CNPJ N: 32.301.942/0001-04</t>
  </si>
  <si>
    <t>Em moeda corrente deste país, pagável na praça de Salvador-BA.</t>
  </si>
  <si>
    <r>
      <rPr>
        <b/>
        <sz val="9"/>
        <color theme="1"/>
        <rFont val="Tw Cen MT"/>
        <family val="2"/>
      </rPr>
      <t xml:space="preserve">Cláusula 7ª. </t>
    </r>
    <r>
      <rPr>
        <sz val="9"/>
        <color theme="1"/>
        <rFont val="Tw Cen MT"/>
        <family val="2"/>
      </rPr>
      <t>Em caso de inadimplemento por parte do CONTRATANTE quanto ao pagamento do serviço prestado, deverá incidir</t>
    </r>
  </si>
  <si>
    <t xml:space="preserve">sobre o valor do presente instrumento, multa pecuniária de 10%, juros de mora de 1% ao mês e correção monetária. 
Parágrafo único. Em caso de cobrança judicial, devem ser acrescidas custas processuais e 20% de honorários advocatícios. 
</t>
  </si>
  <si>
    <t>CONTRATO DE PRESTAÇÃO DE SERVIÇOS E CONSULTORIA FINANCEIRA</t>
  </si>
  <si>
    <t>COMPRA DE DÍVIDA</t>
  </si>
  <si>
    <t>DATA:</t>
  </si>
  <si>
    <t>PARCELA</t>
  </si>
  <si>
    <t>SALDO</t>
  </si>
  <si>
    <t>OBSERVAÇÕES:</t>
  </si>
  <si>
    <t>TOTAL</t>
  </si>
  <si>
    <t>PRAZO / PAGAS</t>
  </si>
  <si>
    <t>SIM</t>
  </si>
  <si>
    <t>CORRENTE</t>
  </si>
  <si>
    <r>
      <rPr>
        <b/>
        <sz val="8"/>
        <color theme="1"/>
        <rFont val="Calibri"/>
        <family val="2"/>
        <scheme val="minor"/>
      </rPr>
      <t xml:space="preserve">ENDEREÇO: </t>
    </r>
    <r>
      <rPr>
        <sz val="8"/>
        <color theme="1"/>
        <rFont val="Calibri"/>
        <family val="2"/>
        <scheme val="minor"/>
      </rPr>
      <t xml:space="preserve">AV. ESTADOS UNIDOS, ED. CIDADE DE ARACAJU, Nº 258 – 9ºANDAR –   SALA 918 – COMÉRCIO
SALVADOR - BAHIA; CEP: 40010-020
</t>
    </r>
    <r>
      <rPr>
        <b/>
        <sz val="8"/>
        <color theme="1"/>
        <rFont val="Calibri"/>
        <family val="2"/>
        <scheme val="minor"/>
      </rPr>
      <t>TELEFONE(S):</t>
    </r>
    <r>
      <rPr>
        <sz val="8"/>
        <color theme="1"/>
        <rFont val="Calibri"/>
        <family val="2"/>
        <scheme val="minor"/>
      </rPr>
      <t xml:space="preserve"> (71) 3015-9599; (71) 99329-0022</t>
    </r>
  </si>
  <si>
    <t>CONSULTOR: ISABELLE COSTA</t>
  </si>
  <si>
    <t>PROFISSÃO:</t>
  </si>
  <si>
    <t xml:space="preserve">TELEFONE REFERÊNCIA: </t>
  </si>
  <si>
    <t xml:space="preserve">GRAU DE PARENTESCO: </t>
  </si>
  <si>
    <t>VALOR LÍQUIDO FINAL:</t>
  </si>
  <si>
    <t>TAXA DE INVESTIMENTO:</t>
  </si>
  <si>
    <t>DÍVIDA CONDICIONADA: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</si>
</sst>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_-&quot;R$ &quot;* #,##0.00_-;&quot;-R$ &quot;* #,##0.00_-;_-&quot;R$ &quot;* \-??_-;_-@_-"/>
    <numFmt numFmtId="165" formatCode="&quot;R$&quot;\ #,##0.00"/>
    <numFmt numFmtId="166" formatCode="00000000000"/>
  </numFmts>
  <fonts count="2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w Cen MT Condensed Extra Bold"/>
      <family val="2"/>
    </font>
    <font>
      <sz val="11"/>
      <color theme="1"/>
      <name val="Tw Cen MT Condensed Extra Bold"/>
      <family val="2"/>
    </font>
    <font>
      <sz val="10"/>
      <color theme="1"/>
      <name val="Tw Cen MT Condensed Extra Bold"/>
      <family val="2"/>
    </font>
    <font>
      <sz val="12"/>
      <color theme="1"/>
      <name val="Tw Cen MT Condensed Extra Bold"/>
      <family val="2"/>
    </font>
    <font>
      <u/>
      <sz val="11"/>
      <color theme="10"/>
      <name val="Calibri"/>
      <family val="2"/>
      <scheme val="minor"/>
    </font>
    <font>
      <sz val="8"/>
      <color theme="1"/>
      <name val="Tw Cen MT"/>
      <family val="2"/>
    </font>
    <font>
      <i/>
      <sz val="9"/>
      <color theme="1"/>
      <name val="Tw Cen MT Condensed Extra Bold"/>
      <family val="2"/>
    </font>
    <font>
      <sz val="11"/>
      <color theme="1"/>
      <name val="Tw Cen MT"/>
      <family val="2"/>
    </font>
    <font>
      <b/>
      <sz val="10"/>
      <color theme="1"/>
      <name val="Tw Cen MT"/>
      <family val="2"/>
    </font>
    <font>
      <sz val="10"/>
      <color theme="1"/>
      <name val="Tw Cen MT"/>
      <family val="2"/>
    </font>
    <font>
      <b/>
      <sz val="9"/>
      <color theme="1"/>
      <name val="Tw Cen MT"/>
      <family val="2"/>
    </font>
    <font>
      <sz val="9"/>
      <color theme="1"/>
      <name val="Tw Cen MT"/>
      <family val="2"/>
    </font>
    <font>
      <b/>
      <u/>
      <sz val="9"/>
      <color theme="1"/>
      <name val="Tw Cen MT"/>
      <family val="2"/>
    </font>
    <font>
      <b/>
      <sz val="10.5"/>
      <color theme="1"/>
      <name val="Tw Cen MT"/>
      <family val="2"/>
    </font>
    <font>
      <b/>
      <i/>
      <sz val="9"/>
      <color theme="1"/>
      <name val="Tw Cen MT"/>
      <family val="2"/>
    </font>
    <font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6600"/>
        <bgColor rgb="FFFF99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164" fontId="1" fillId="0" borderId="0" applyBorder="0" applyProtection="0"/>
    <xf numFmtId="0" fontId="2" fillId="2" borderId="0" applyBorder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183">
    <xf numFmtId="0" fontId="0" fillId="0" borderId="0" xfId="0"/>
    <xf numFmtId="9" fontId="0" fillId="0" borderId="1" xfId="5" applyFont="1" applyBorder="1" applyAlignment="1" applyProtection="1">
      <alignment horizontal="center"/>
      <protection locked="0"/>
    </xf>
    <xf numFmtId="0" fontId="5" fillId="0" borderId="1" xfId="0" applyFont="1" applyBorder="1" applyProtection="1"/>
    <xf numFmtId="0" fontId="0" fillId="0" borderId="0" xfId="0" applyProtection="1"/>
    <xf numFmtId="14" fontId="0" fillId="0" borderId="0" xfId="0" applyNumberFormat="1" applyProtection="1"/>
    <xf numFmtId="0" fontId="0" fillId="0" borderId="0" xfId="0" applyNumberFormat="1" applyProtection="1"/>
    <xf numFmtId="0" fontId="0" fillId="0" borderId="0" xfId="0" applyAlignment="1">
      <alignment horizontal="left"/>
    </xf>
    <xf numFmtId="0" fontId="7" fillId="0" borderId="7" xfId="0" applyFont="1" applyBorder="1"/>
    <xf numFmtId="0" fontId="7" fillId="0" borderId="0" xfId="0" applyFont="1" applyBorder="1"/>
    <xf numFmtId="0" fontId="7" fillId="0" borderId="14" xfId="0" applyFont="1" applyBorder="1"/>
    <xf numFmtId="0" fontId="11" fillId="0" borderId="0" xfId="0" applyFont="1" applyAlignment="1">
      <alignment vertical="justify" wrapText="1"/>
    </xf>
    <xf numFmtId="0" fontId="13" fillId="0" borderId="6" xfId="0" applyFont="1" applyBorder="1"/>
    <xf numFmtId="0" fontId="13" fillId="0" borderId="0" xfId="0" applyFont="1" applyBorder="1"/>
    <xf numFmtId="0" fontId="13" fillId="0" borderId="0" xfId="0" applyFont="1"/>
    <xf numFmtId="0" fontId="13" fillId="0" borderId="0" xfId="0" applyFont="1" applyAlignment="1"/>
    <xf numFmtId="0" fontId="14" fillId="0" borderId="3" xfId="0" applyFont="1" applyBorder="1" applyAlignment="1">
      <alignment horizontal="center" vertical="justify" wrapText="1"/>
    </xf>
    <xf numFmtId="0" fontId="11" fillId="0" borderId="0" xfId="0" applyFont="1" applyAlignment="1"/>
    <xf numFmtId="0" fontId="15" fillId="0" borderId="0" xfId="0" applyFont="1"/>
    <xf numFmtId="0" fontId="17" fillId="0" borderId="1" xfId="0" applyFont="1" applyBorder="1" applyAlignment="1"/>
    <xf numFmtId="0" fontId="17" fillId="0" borderId="1" xfId="0" applyFont="1" applyBorder="1"/>
    <xf numFmtId="0" fontId="15" fillId="0" borderId="0" xfId="0" applyFont="1" applyProtection="1">
      <protection locked="0"/>
    </xf>
    <xf numFmtId="0" fontId="17" fillId="0" borderId="0" xfId="0" applyFont="1"/>
    <xf numFmtId="0" fontId="17" fillId="0" borderId="0" xfId="0" applyFont="1" applyBorder="1" applyAlignment="1">
      <alignment vertical="justify" wrapText="1"/>
    </xf>
    <xf numFmtId="0" fontId="17" fillId="0" borderId="0" xfId="0" applyFont="1" applyAlignment="1">
      <alignment vertical="justify" wrapText="1"/>
    </xf>
    <xf numFmtId="0" fontId="21" fillId="0" borderId="0" xfId="0" applyFont="1"/>
    <xf numFmtId="0" fontId="23" fillId="0" borderId="1" xfId="0" applyFont="1" applyBorder="1" applyAlignment="1" applyProtection="1">
      <alignment horizontal="left"/>
    </xf>
    <xf numFmtId="165" fontId="23" fillId="0" borderId="1" xfId="4" applyNumberFormat="1" applyFont="1" applyBorder="1" applyAlignment="1" applyProtection="1"/>
    <xf numFmtId="165" fontId="24" fillId="0" borderId="1" xfId="4" applyNumberFormat="1" applyFont="1" applyBorder="1" applyAlignment="1" applyProtection="1">
      <protection locked="0"/>
    </xf>
    <xf numFmtId="0" fontId="23" fillId="0" borderId="1" xfId="0" applyFont="1" applyBorder="1" applyAlignment="1" applyProtection="1"/>
    <xf numFmtId="0" fontId="23" fillId="0" borderId="1" xfId="0" applyFont="1" applyBorder="1" applyProtection="1"/>
    <xf numFmtId="0" fontId="24" fillId="0" borderId="1" xfId="0" applyFont="1" applyBorder="1" applyProtection="1">
      <protection locked="0"/>
    </xf>
    <xf numFmtId="0" fontId="24" fillId="0" borderId="0" xfId="0" applyFont="1" applyProtection="1">
      <protection locked="0"/>
    </xf>
    <xf numFmtId="0" fontId="4" fillId="0" borderId="28" xfId="0" applyFont="1" applyBorder="1" applyAlignment="1" applyProtection="1">
      <protection locked="0"/>
    </xf>
    <xf numFmtId="14" fontId="4" fillId="0" borderId="28" xfId="0" applyNumberFormat="1" applyFont="1" applyBorder="1" applyAlignment="1" applyProtection="1">
      <protection locked="0"/>
    </xf>
    <xf numFmtId="0" fontId="4" fillId="0" borderId="29" xfId="0" applyFont="1" applyBorder="1" applyAlignment="1" applyProtection="1">
      <alignment horizontal="center"/>
    </xf>
    <xf numFmtId="14" fontId="4" fillId="0" borderId="0" xfId="0" applyNumberFormat="1" applyFont="1" applyProtection="1"/>
    <xf numFmtId="0" fontId="9" fillId="5" borderId="20" xfId="0" applyFont="1" applyFill="1" applyBorder="1"/>
    <xf numFmtId="0" fontId="9" fillId="5" borderId="21" xfId="0" applyFont="1" applyFill="1" applyBorder="1" applyAlignment="1">
      <alignment horizontal="right"/>
    </xf>
    <xf numFmtId="0" fontId="9" fillId="5" borderId="22" xfId="0" applyFont="1" applyFill="1" applyBorder="1" applyAlignment="1">
      <alignment vertical="top"/>
    </xf>
    <xf numFmtId="0" fontId="23" fillId="0" borderId="1" xfId="0" applyFont="1" applyBorder="1" applyAlignment="1" applyProtection="1">
      <alignment vertical="center"/>
    </xf>
    <xf numFmtId="0" fontId="24" fillId="0" borderId="1" xfId="0" applyFont="1" applyBorder="1" applyAlignment="1" applyProtection="1">
      <alignment horizontal="left" vertical="top" wrapText="1"/>
      <protection locked="0"/>
    </xf>
    <xf numFmtId="0" fontId="4" fillId="3" borderId="3" xfId="0" applyFont="1" applyFill="1" applyBorder="1" applyAlignment="1" applyProtection="1">
      <alignment vertical="top"/>
    </xf>
    <xf numFmtId="0" fontId="4" fillId="3" borderId="4" xfId="0" applyFont="1" applyFill="1" applyBorder="1" applyAlignment="1" applyProtection="1">
      <alignment vertical="top"/>
    </xf>
    <xf numFmtId="0" fontId="28" fillId="3" borderId="1" xfId="0" applyFont="1" applyFill="1" applyBorder="1" applyAlignment="1" applyProtection="1">
      <alignment horizontal="center" vertical="center"/>
    </xf>
    <xf numFmtId="0" fontId="28" fillId="3" borderId="3" xfId="0" applyFont="1" applyFill="1" applyBorder="1" applyAlignment="1" applyProtection="1">
      <alignment vertical="center"/>
    </xf>
    <xf numFmtId="0" fontId="23" fillId="0" borderId="1" xfId="0" applyFont="1" applyBorder="1" applyAlignment="1" applyProtection="1">
      <alignment horizontal="center" vertical="center" wrapText="1"/>
      <protection locked="0"/>
    </xf>
    <xf numFmtId="0" fontId="24" fillId="0" borderId="5" xfId="0" applyFont="1" applyBorder="1" applyAlignment="1" applyProtection="1">
      <alignment vertical="top" wrapText="1"/>
      <protection locked="0"/>
    </xf>
    <xf numFmtId="0" fontId="24" fillId="0" borderId="30" xfId="0" applyFont="1" applyBorder="1" applyAlignment="1" applyProtection="1">
      <alignment vertical="top" wrapText="1"/>
      <protection locked="0"/>
    </xf>
    <xf numFmtId="0" fontId="24" fillId="0" borderId="0" xfId="0" applyFont="1" applyBorder="1" applyAlignment="1" applyProtection="1">
      <alignment vertical="top" wrapText="1"/>
      <protection locked="0"/>
    </xf>
    <xf numFmtId="0" fontId="24" fillId="0" borderId="31" xfId="0" applyFont="1" applyBorder="1" applyAlignment="1" applyProtection="1">
      <alignment vertical="top" wrapText="1"/>
      <protection locked="0"/>
    </xf>
    <xf numFmtId="0" fontId="24" fillId="0" borderId="6" xfId="0" applyFont="1" applyBorder="1" applyAlignment="1" applyProtection="1">
      <alignment vertical="top" wrapText="1"/>
      <protection locked="0"/>
    </xf>
    <xf numFmtId="0" fontId="24" fillId="0" borderId="32" xfId="0" applyFont="1" applyBorder="1" applyAlignment="1" applyProtection="1">
      <alignment vertical="top" wrapText="1"/>
      <protection locked="0"/>
    </xf>
    <xf numFmtId="0" fontId="24" fillId="0" borderId="1" xfId="0" applyFont="1" applyBorder="1" applyAlignment="1" applyProtection="1">
      <alignment horizontal="center" vertical="top" wrapText="1"/>
      <protection locked="0"/>
    </xf>
    <xf numFmtId="165" fontId="24" fillId="0" borderId="1" xfId="0" applyNumberFormat="1" applyFont="1" applyBorder="1" applyAlignment="1" applyProtection="1">
      <alignment horizontal="center" vertical="top" wrapText="1"/>
      <protection locked="0"/>
    </xf>
    <xf numFmtId="165" fontId="24" fillId="0" borderId="1" xfId="0" applyNumberFormat="1" applyFont="1" applyBorder="1" applyAlignment="1" applyProtection="1">
      <alignment horizontal="left" vertical="top" wrapText="1"/>
      <protection locked="0"/>
    </xf>
    <xf numFmtId="165" fontId="24" fillId="0" borderId="1" xfId="0" applyNumberFormat="1" applyFont="1" applyBorder="1" applyAlignment="1" applyProtection="1">
      <alignment vertical="top" wrapText="1"/>
      <protection locked="0"/>
    </xf>
    <xf numFmtId="165" fontId="23" fillId="0" borderId="1" xfId="4" applyNumberFormat="1" applyFont="1" applyBorder="1" applyAlignment="1" applyProtection="1">
      <alignment horizontal="center" vertical="center"/>
      <protection locked="0"/>
    </xf>
    <xf numFmtId="0" fontId="26" fillId="4" borderId="2" xfId="0" applyFont="1" applyFill="1" applyBorder="1" applyAlignment="1" applyProtection="1">
      <alignment horizontal="left" vertical="center"/>
    </xf>
    <xf numFmtId="0" fontId="26" fillId="4" borderId="4" xfId="0" applyFont="1" applyFill="1" applyBorder="1" applyAlignment="1" applyProtection="1">
      <alignment horizontal="left" vertical="center"/>
    </xf>
    <xf numFmtId="0" fontId="24" fillId="0" borderId="2" xfId="0" applyFont="1" applyBorder="1" applyAlignment="1" applyProtection="1">
      <protection locked="0"/>
    </xf>
    <xf numFmtId="0" fontId="15" fillId="0" borderId="4" xfId="0" applyFont="1" applyBorder="1" applyProtection="1">
      <protection locked="0"/>
    </xf>
    <xf numFmtId="0" fontId="23" fillId="0" borderId="4" xfId="0" applyFont="1" applyBorder="1" applyAlignment="1" applyProtection="1">
      <protection locked="0"/>
    </xf>
    <xf numFmtId="165" fontId="23" fillId="0" borderId="1" xfId="0" applyNumberFormat="1" applyFont="1" applyBorder="1" applyAlignment="1" applyProtection="1">
      <alignment horizontal="center" vertical="center" wrapText="1"/>
      <protection locked="0"/>
    </xf>
    <xf numFmtId="0" fontId="26" fillId="4" borderId="1" xfId="0" applyFont="1" applyFill="1" applyBorder="1" applyAlignment="1" applyProtection="1">
      <alignment horizontal="left" vertical="center"/>
    </xf>
    <xf numFmtId="165" fontId="26" fillId="4" borderId="1" xfId="0" applyNumberFormat="1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23" fillId="0" borderId="1" xfId="0" applyFont="1" applyBorder="1" applyAlignment="1" applyProtection="1">
      <alignment horizontal="left"/>
    </xf>
    <xf numFmtId="0" fontId="24" fillId="0" borderId="1" xfId="0" applyFont="1" applyBorder="1" applyAlignment="1" applyProtection="1">
      <alignment horizontal="center"/>
      <protection locked="0"/>
    </xf>
    <xf numFmtId="0" fontId="4" fillId="0" borderId="28" xfId="0" applyFont="1" applyBorder="1" applyAlignment="1" applyProtection="1">
      <alignment horizontal="left"/>
    </xf>
    <xf numFmtId="0" fontId="4" fillId="0" borderId="29" xfId="0" applyFont="1" applyBorder="1" applyAlignment="1" applyProtection="1">
      <alignment horizontal="center"/>
      <protection locked="0"/>
    </xf>
    <xf numFmtId="0" fontId="24" fillId="0" borderId="0" xfId="0" applyFont="1" applyAlignment="1" applyProtection="1">
      <alignment horizontal="center"/>
      <protection locked="0"/>
    </xf>
    <xf numFmtId="165" fontId="26" fillId="4" borderId="2" xfId="0" applyNumberFormat="1" applyFont="1" applyFill="1" applyBorder="1" applyAlignment="1" applyProtection="1">
      <alignment horizontal="center" vertical="center"/>
    </xf>
    <xf numFmtId="165" fontId="26" fillId="4" borderId="3" xfId="0" applyNumberFormat="1" applyFont="1" applyFill="1" applyBorder="1" applyAlignment="1" applyProtection="1">
      <alignment horizontal="center" vertical="center"/>
    </xf>
    <xf numFmtId="165" fontId="26" fillId="4" borderId="4" xfId="0" applyNumberFormat="1" applyFont="1" applyFill="1" applyBorder="1" applyAlignment="1" applyProtection="1">
      <alignment horizontal="center" vertical="center"/>
    </xf>
    <xf numFmtId="0" fontId="26" fillId="4" borderId="1" xfId="0" applyFont="1" applyFill="1" applyBorder="1" applyAlignment="1" applyProtection="1">
      <alignment horizontal="left"/>
    </xf>
    <xf numFmtId="0" fontId="24" fillId="0" borderId="1" xfId="0" applyFont="1" applyBorder="1" applyAlignment="1" applyProtection="1">
      <alignment horizontal="left"/>
      <protection locked="0"/>
    </xf>
    <xf numFmtId="0" fontId="26" fillId="4" borderId="1" xfId="0" applyFont="1" applyFill="1" applyBorder="1" applyAlignment="1" applyProtection="1">
      <alignment horizontal="center" vertical="center"/>
    </xf>
    <xf numFmtId="0" fontId="23" fillId="0" borderId="1" xfId="0" applyFont="1" applyBorder="1" applyAlignment="1" applyProtection="1">
      <alignment horizontal="center" vertical="center"/>
    </xf>
    <xf numFmtId="0" fontId="24" fillId="0" borderId="1" xfId="0" applyFont="1" applyBorder="1" applyAlignment="1" applyProtection="1">
      <alignment horizontal="center" vertical="center"/>
      <protection locked="0"/>
    </xf>
    <xf numFmtId="9" fontId="24" fillId="0" borderId="1" xfId="5" applyFont="1" applyBorder="1" applyAlignment="1" applyProtection="1">
      <alignment horizontal="center" vertical="center"/>
    </xf>
    <xf numFmtId="0" fontId="23" fillId="0" borderId="2" xfId="0" applyFont="1" applyBorder="1" applyAlignment="1" applyProtection="1">
      <alignment horizontal="left"/>
    </xf>
    <xf numFmtId="0" fontId="23" fillId="0" borderId="3" xfId="0" applyFont="1" applyBorder="1" applyAlignment="1" applyProtection="1">
      <alignment horizontal="left"/>
    </xf>
    <xf numFmtId="0" fontId="23" fillId="0" borderId="2" xfId="0" applyFont="1" applyBorder="1" applyAlignment="1" applyProtection="1">
      <alignment horizontal="center"/>
      <protection locked="0"/>
    </xf>
    <xf numFmtId="0" fontId="23" fillId="0" borderId="4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165" fontId="24" fillId="0" borderId="1" xfId="4" applyNumberFormat="1" applyFont="1" applyBorder="1" applyAlignment="1" applyProtection="1">
      <alignment horizontal="left"/>
      <protection locked="0"/>
    </xf>
    <xf numFmtId="0" fontId="10" fillId="0" borderId="1" xfId="6" applyBorder="1" applyAlignment="1" applyProtection="1">
      <alignment horizontal="center"/>
      <protection locked="0"/>
    </xf>
    <xf numFmtId="0" fontId="22" fillId="4" borderId="1" xfId="0" applyFont="1" applyFill="1" applyBorder="1" applyAlignment="1" applyProtection="1">
      <alignment horizontal="center" vertical="center"/>
    </xf>
    <xf numFmtId="14" fontId="24" fillId="0" borderId="1" xfId="0" applyNumberFormat="1" applyFont="1" applyBorder="1" applyAlignment="1" applyProtection="1">
      <alignment horizontal="left"/>
      <protection locked="0"/>
    </xf>
    <xf numFmtId="166" fontId="25" fillId="0" borderId="1" xfId="0" applyNumberFormat="1" applyFont="1" applyBorder="1" applyAlignment="1" applyProtection="1">
      <alignment horizontal="left" wrapText="1"/>
      <protection locked="0"/>
    </xf>
    <xf numFmtId="166" fontId="25" fillId="0" borderId="1" xfId="0" applyNumberFormat="1" applyFont="1" applyBorder="1" applyAlignment="1" applyProtection="1">
      <alignment horizontal="left"/>
      <protection locked="0"/>
    </xf>
    <xf numFmtId="49" fontId="24" fillId="0" borderId="1" xfId="0" applyNumberFormat="1" applyFont="1" applyBorder="1" applyAlignment="1" applyProtection="1">
      <alignment horizontal="left"/>
      <protection locked="0"/>
    </xf>
    <xf numFmtId="0" fontId="24" fillId="0" borderId="1" xfId="0" applyNumberFormat="1" applyFont="1" applyBorder="1" applyAlignment="1" applyProtection="1">
      <alignment horizontal="left"/>
    </xf>
    <xf numFmtId="165" fontId="24" fillId="0" borderId="2" xfId="4" applyNumberFormat="1" applyFont="1" applyBorder="1" applyAlignment="1" applyProtection="1">
      <alignment horizontal="center" vertical="center"/>
      <protection locked="0"/>
    </xf>
    <xf numFmtId="165" fontId="24" fillId="0" borderId="3" xfId="4" applyNumberFormat="1" applyFont="1" applyBorder="1" applyAlignment="1" applyProtection="1">
      <alignment horizontal="center" vertical="center"/>
      <protection locked="0"/>
    </xf>
    <xf numFmtId="165" fontId="24" fillId="0" borderId="4" xfId="4" applyNumberFormat="1" applyFont="1" applyBorder="1" applyAlignment="1" applyProtection="1">
      <alignment horizontal="center" vertical="center"/>
      <protection locked="0"/>
    </xf>
    <xf numFmtId="0" fontId="27" fillId="0" borderId="1" xfId="0" applyFont="1" applyBorder="1" applyAlignment="1" applyProtection="1">
      <alignment horizontal="left" vertical="center"/>
      <protection locked="0"/>
    </xf>
    <xf numFmtId="165" fontId="24" fillId="0" borderId="1" xfId="4" applyNumberFormat="1" applyFont="1" applyBorder="1" applyAlignment="1" applyProtection="1">
      <alignment horizontal="left"/>
    </xf>
    <xf numFmtId="0" fontId="23" fillId="0" borderId="4" xfId="0" applyFont="1" applyBorder="1" applyAlignment="1" applyProtection="1">
      <alignment horizontal="left"/>
    </xf>
    <xf numFmtId="165" fontId="24" fillId="0" borderId="1" xfId="0" applyNumberFormat="1" applyFont="1" applyBorder="1" applyAlignment="1" applyProtection="1">
      <alignment horizontal="left"/>
    </xf>
    <xf numFmtId="165" fontId="24" fillId="0" borderId="1" xfId="0" applyNumberFormat="1" applyFont="1" applyBorder="1" applyAlignment="1" applyProtection="1">
      <alignment horizontal="left"/>
      <protection locked="0"/>
    </xf>
    <xf numFmtId="0" fontId="26" fillId="4" borderId="2" xfId="0" applyFont="1" applyFill="1" applyBorder="1" applyAlignment="1" applyProtection="1">
      <alignment horizontal="left" vertical="center"/>
    </xf>
    <xf numFmtId="0" fontId="26" fillId="4" borderId="4" xfId="0" applyFont="1" applyFill="1" applyBorder="1" applyAlignment="1" applyProtection="1">
      <alignment horizontal="left" vertical="center"/>
    </xf>
    <xf numFmtId="165" fontId="26" fillId="4" borderId="1" xfId="4" applyNumberFormat="1" applyFont="1" applyFill="1" applyBorder="1" applyAlignment="1" applyProtection="1">
      <alignment horizontal="left" vertical="center"/>
    </xf>
    <xf numFmtId="0" fontId="14" fillId="0" borderId="5" xfId="0" applyFont="1" applyBorder="1" applyAlignment="1">
      <alignment horizontal="left" vertical="justify" wrapText="1"/>
    </xf>
    <xf numFmtId="0" fontId="17" fillId="0" borderId="1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0" xfId="0" applyFont="1" applyAlignment="1">
      <alignment horizontal="justify" vertical="justify" wrapText="1"/>
    </xf>
    <xf numFmtId="0" fontId="19" fillId="0" borderId="0" xfId="0" applyFont="1" applyAlignment="1">
      <alignment horizontal="center" vertical="center"/>
    </xf>
    <xf numFmtId="8" fontId="17" fillId="0" borderId="1" xfId="0" applyNumberFormat="1" applyFont="1" applyBorder="1" applyAlignment="1">
      <alignment horizontal="center"/>
    </xf>
    <xf numFmtId="8" fontId="13" fillId="0" borderId="1" xfId="0" applyNumberFormat="1" applyFont="1" applyBorder="1" applyAlignment="1">
      <alignment horizontal="center"/>
    </xf>
    <xf numFmtId="0" fontId="17" fillId="0" borderId="5" xfId="0" applyFont="1" applyBorder="1" applyAlignment="1">
      <alignment horizontal="justify" vertical="justify"/>
    </xf>
    <xf numFmtId="0" fontId="17" fillId="0" borderId="0" xfId="0" applyFont="1" applyBorder="1" applyAlignment="1">
      <alignment horizontal="justify" vertical="justify"/>
    </xf>
    <xf numFmtId="49" fontId="17" fillId="0" borderId="1" xfId="0" applyNumberFormat="1" applyFont="1" applyBorder="1" applyAlignment="1">
      <alignment horizontal="center"/>
    </xf>
    <xf numFmtId="0" fontId="17" fillId="0" borderId="1" xfId="0" applyFont="1" applyBorder="1" applyAlignment="1">
      <alignment horizontal="right"/>
    </xf>
    <xf numFmtId="0" fontId="16" fillId="0" borderId="0" xfId="0" applyFont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6" fillId="0" borderId="1" xfId="0" applyFont="1" applyBorder="1" applyAlignment="1">
      <alignment horizontal="left" wrapText="1"/>
    </xf>
    <xf numFmtId="0" fontId="20" fillId="0" borderId="0" xfId="0" applyFont="1" applyAlignment="1">
      <alignment horizontal="right"/>
    </xf>
    <xf numFmtId="14" fontId="20" fillId="0" borderId="0" xfId="0" applyNumberFormat="1" applyFont="1" applyAlignment="1">
      <alignment horizontal="left"/>
    </xf>
    <xf numFmtId="0" fontId="20" fillId="0" borderId="0" xfId="0" applyFont="1" applyAlignment="1">
      <alignment horizontal="left"/>
    </xf>
    <xf numFmtId="0" fontId="17" fillId="0" borderId="5" xfId="0" applyFont="1" applyBorder="1" applyAlignment="1">
      <alignment horizontal="left"/>
    </xf>
    <xf numFmtId="0" fontId="14" fillId="0" borderId="0" xfId="0" applyFont="1" applyAlignment="1">
      <alignment horizontal="left" vertical="center" wrapText="1"/>
    </xf>
    <xf numFmtId="0" fontId="17" fillId="0" borderId="5" xfId="0" applyFont="1" applyBorder="1" applyAlignment="1">
      <alignment horizontal="left" vertical="justify" wrapText="1"/>
    </xf>
    <xf numFmtId="0" fontId="17" fillId="0" borderId="0" xfId="0" applyFont="1" applyBorder="1" applyAlignment="1">
      <alignment horizontal="justify" vertical="justify" wrapText="1"/>
    </xf>
    <xf numFmtId="0" fontId="14" fillId="0" borderId="0" xfId="0" applyFont="1" applyAlignment="1">
      <alignment horizontal="left"/>
    </xf>
    <xf numFmtId="0" fontId="14" fillId="0" borderId="3" xfId="0" applyFont="1" applyBorder="1" applyAlignment="1">
      <alignment horizontal="left" vertical="justify" wrapText="1"/>
    </xf>
    <xf numFmtId="0" fontId="14" fillId="0" borderId="0" xfId="0" applyFont="1" applyAlignment="1">
      <alignment horizontal="justify" vertical="justify" wrapText="1"/>
    </xf>
    <xf numFmtId="0" fontId="17" fillId="0" borderId="5" xfId="0" applyFont="1" applyBorder="1" applyAlignment="1">
      <alignment horizontal="justify" vertical="justify" wrapText="1"/>
    </xf>
    <xf numFmtId="0" fontId="17" fillId="0" borderId="0" xfId="0" applyFont="1" applyAlignment="1">
      <alignment horizontal="justify" vertical="justify"/>
    </xf>
    <xf numFmtId="0" fontId="16" fillId="0" borderId="5" xfId="0" applyFont="1" applyBorder="1" applyAlignment="1">
      <alignment horizontal="justify" vertical="justify" wrapText="1"/>
    </xf>
    <xf numFmtId="0" fontId="16" fillId="0" borderId="0" xfId="0" applyFont="1" applyBorder="1" applyAlignment="1">
      <alignment horizontal="justify" vertical="justify" wrapText="1"/>
    </xf>
    <xf numFmtId="0" fontId="4" fillId="0" borderId="11" xfId="0" applyFont="1" applyBorder="1" applyAlignment="1">
      <alignment horizontal="center" textRotation="90" wrapText="1"/>
    </xf>
    <xf numFmtId="0" fontId="4" fillId="0" borderId="12" xfId="0" applyFont="1" applyBorder="1" applyAlignment="1">
      <alignment horizontal="center" textRotation="90" wrapText="1"/>
    </xf>
    <xf numFmtId="0" fontId="4" fillId="0" borderId="15" xfId="0" applyFont="1" applyBorder="1" applyAlignment="1">
      <alignment horizontal="center" textRotation="90" wrapText="1"/>
    </xf>
    <xf numFmtId="0" fontId="4" fillId="0" borderId="13" xfId="0" applyFont="1" applyBorder="1" applyAlignment="1">
      <alignment horizontal="center" textRotation="90" wrapText="1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0" fontId="7" fillId="0" borderId="15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8" fontId="7" fillId="5" borderId="0" xfId="0" applyNumberFormat="1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7" fillId="5" borderId="14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wrapText="1"/>
    </xf>
    <xf numFmtId="0" fontId="7" fillId="5" borderId="7" xfId="0" applyFont="1" applyFill="1" applyBorder="1" applyAlignment="1">
      <alignment horizontal="center"/>
    </xf>
    <xf numFmtId="0" fontId="6" fillId="5" borderId="7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8" fillId="5" borderId="19" xfId="0" applyFont="1" applyFill="1" applyBorder="1" applyAlignment="1">
      <alignment horizontal="center" vertical="justify" wrapText="1"/>
    </xf>
    <xf numFmtId="0" fontId="8" fillId="5" borderId="26" xfId="0" applyFont="1" applyFill="1" applyBorder="1" applyAlignment="1">
      <alignment horizontal="center" vertical="justify" wrapText="1"/>
    </xf>
    <xf numFmtId="0" fontId="8" fillId="5" borderId="27" xfId="0" applyFont="1" applyFill="1" applyBorder="1" applyAlignment="1">
      <alignment horizontal="center" vertical="justify" wrapText="1"/>
    </xf>
    <xf numFmtId="0" fontId="9" fillId="5" borderId="15" xfId="0" applyFont="1" applyFill="1" applyBorder="1" applyAlignment="1">
      <alignment horizontal="center" vertical="top"/>
    </xf>
    <xf numFmtId="0" fontId="9" fillId="5" borderId="0" xfId="0" applyFont="1" applyFill="1" applyBorder="1" applyAlignment="1">
      <alignment horizontal="center" vertical="top"/>
    </xf>
    <xf numFmtId="0" fontId="9" fillId="5" borderId="14" xfId="0" applyFont="1" applyFill="1" applyBorder="1" applyAlignment="1">
      <alignment horizontal="center" vertical="top"/>
    </xf>
    <xf numFmtId="0" fontId="12" fillId="5" borderId="16" xfId="0" applyFont="1" applyFill="1" applyBorder="1" applyAlignment="1">
      <alignment horizontal="right" vertical="top"/>
    </xf>
    <xf numFmtId="0" fontId="12" fillId="5" borderId="9" xfId="0" applyFont="1" applyFill="1" applyBorder="1" applyAlignment="1">
      <alignment horizontal="right" vertical="top"/>
    </xf>
    <xf numFmtId="14" fontId="12" fillId="5" borderId="9" xfId="0" applyNumberFormat="1" applyFont="1" applyFill="1" applyBorder="1" applyAlignment="1">
      <alignment horizontal="left" vertical="top"/>
    </xf>
    <xf numFmtId="0" fontId="12" fillId="5" borderId="9" xfId="0" applyFont="1" applyFill="1" applyBorder="1" applyAlignment="1">
      <alignment horizontal="left" vertical="top"/>
    </xf>
    <xf numFmtId="0" fontId="12" fillId="5" borderId="10" xfId="0" applyFont="1" applyFill="1" applyBorder="1" applyAlignment="1">
      <alignment horizontal="left" vertical="top"/>
    </xf>
    <xf numFmtId="8" fontId="7" fillId="5" borderId="0" xfId="4" applyNumberFormat="1" applyFont="1" applyFill="1" applyBorder="1" applyAlignment="1">
      <alignment horizontal="center"/>
    </xf>
    <xf numFmtId="44" fontId="7" fillId="5" borderId="0" xfId="4" applyFont="1" applyFill="1" applyBorder="1" applyAlignment="1">
      <alignment horizontal="center"/>
    </xf>
    <xf numFmtId="44" fontId="7" fillId="5" borderId="14" xfId="4" applyFont="1" applyFill="1" applyBorder="1" applyAlignment="1">
      <alignment horizontal="center"/>
    </xf>
    <xf numFmtId="14" fontId="7" fillId="0" borderId="6" xfId="0" applyNumberFormat="1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7" fillId="5" borderId="23" xfId="0" applyFont="1" applyFill="1" applyBorder="1" applyAlignment="1">
      <alignment horizontal="center"/>
    </xf>
    <xf numFmtId="0" fontId="7" fillId="5" borderId="24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5" xfId="0" applyFont="1" applyFill="1" applyBorder="1" applyAlignment="1">
      <alignment horizontal="center"/>
    </xf>
    <xf numFmtId="0" fontId="9" fillId="0" borderId="16" xfId="0" applyFont="1" applyBorder="1" applyAlignment="1">
      <alignment horizontal="left"/>
    </xf>
    <xf numFmtId="0" fontId="9" fillId="0" borderId="9" xfId="0" applyFont="1" applyBorder="1" applyAlignment="1">
      <alignment horizontal="left"/>
    </xf>
    <xf numFmtId="0" fontId="9" fillId="0" borderId="10" xfId="0" applyFont="1" applyBorder="1" applyAlignment="1">
      <alignment horizontal="left"/>
    </xf>
  </cellXfs>
  <cellStyles count="7">
    <cellStyle name="Hiperlink" xfId="6" builtinId="8"/>
    <cellStyle name="Moeda" xfId="4" builtinId="4"/>
    <cellStyle name="Moeda 2" xfId="2"/>
    <cellStyle name="Normal" xfId="0" builtinId="0"/>
    <cellStyle name="Normal 2" xfId="1"/>
    <cellStyle name="Porcentagem" xfId="5" builtinId="5"/>
    <cellStyle name="Texto Explicativo 2" xfId="3"/>
  </cellStyles>
  <dxfs count="0"/>
  <tableStyles count="0" defaultTableStyle="TableStyleMedium2" defaultPivotStyle="PivotStyleLight16"/>
  <colors>
    <mruColors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142875</xdr:colOff>
      <xdr:row>0</xdr:row>
      <xdr:rowOff>85725</xdr:rowOff>
    </xdr:from>
    <xdr:to>
      <xdr:col>9</xdr:col>
      <xdr:colOff>499564</xdr:colOff>
      <xdr:row>2</xdr:row>
      <xdr:rowOff>9524</xdr:rowOff>
    </xdr:to>
    <xdr:pic macro="[0]!limpardados1"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7925" y="85725"/>
          <a:ext cx="356689" cy="409574"/>
        </a:xfrm>
        <a:prstGeom prst="rect">
          <a:avLst/>
        </a:prstGeom>
      </xdr:spPr>
    </xdr:pic>
    <xdr:clientData/>
  </xdr:twoCellAnchor>
  <xdr:twoCellAnchor editAs="oneCell">
    <xdr:from>
      <xdr:col>9</xdr:col>
      <xdr:colOff>209550</xdr:colOff>
      <xdr:row>10</xdr:row>
      <xdr:rowOff>9525</xdr:rowOff>
    </xdr:from>
    <xdr:to>
      <xdr:col>9</xdr:col>
      <xdr:colOff>566239</xdr:colOff>
      <xdr:row>12</xdr:row>
      <xdr:rowOff>101599</xdr:rowOff>
    </xdr:to>
    <xdr:pic macro="[0]!limpardados2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24600" y="2057400"/>
          <a:ext cx="356689" cy="409574"/>
        </a:xfrm>
        <a:prstGeom prst="rect">
          <a:avLst/>
        </a:prstGeom>
      </xdr:spPr>
    </xdr:pic>
    <xdr:clientData/>
  </xdr:twoCellAnchor>
  <xdr:twoCellAnchor editAs="oneCell">
    <xdr:from>
      <xdr:col>3</xdr:col>
      <xdr:colOff>304800</xdr:colOff>
      <xdr:row>46</xdr:row>
      <xdr:rowOff>88901</xdr:rowOff>
    </xdr:from>
    <xdr:to>
      <xdr:col>5</xdr:col>
      <xdr:colOff>187324</xdr:colOff>
      <xdr:row>48</xdr:row>
      <xdr:rowOff>82551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artisticCutout/>
                  </a14:imgEffect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7600" y="8197851"/>
          <a:ext cx="1228724" cy="546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157760</xdr:rowOff>
    </xdr:from>
    <xdr:to>
      <xdr:col>0</xdr:col>
      <xdr:colOff>504824</xdr:colOff>
      <xdr:row>13</xdr:row>
      <xdr:rowOff>71838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9623" y="2138862"/>
          <a:ext cx="485578" cy="504824"/>
        </a:xfrm>
        <a:prstGeom prst="rect">
          <a:avLst/>
        </a:prstGeom>
      </xdr:spPr>
    </xdr:pic>
    <xdr:clientData/>
  </xdr:twoCellAnchor>
  <xdr:twoCellAnchor editAs="oneCell">
    <xdr:from>
      <xdr:col>3</xdr:col>
      <xdr:colOff>342900</xdr:colOff>
      <xdr:row>25</xdr:row>
      <xdr:rowOff>9525</xdr:rowOff>
    </xdr:from>
    <xdr:to>
      <xdr:col>7</xdr:col>
      <xdr:colOff>50005</xdr:colOff>
      <xdr:row>30</xdr:row>
      <xdr:rowOff>57150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-4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5025" y="4876800"/>
          <a:ext cx="2250280" cy="10001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M50"/>
  <sheetViews>
    <sheetView showGridLines="0" tabSelected="1" topLeftCell="A4" zoomScale="130" zoomScaleNormal="130" workbookViewId="0">
      <selection activeCell="C23" sqref="C23:I23"/>
    </sheetView>
  </sheetViews>
  <sheetFormatPr defaultRowHeight="15" x14ac:dyDescent="0.25"/>
  <cols>
    <col min="1" max="1" width="11.28515625" style="20" customWidth="1"/>
    <col min="2" max="2" width="9.28515625" style="20" customWidth="1"/>
    <col min="3" max="3" width="10.85546875" style="20" customWidth="1"/>
    <col min="4" max="4" width="11" style="20" customWidth="1"/>
    <col min="5" max="5" width="9.140625" style="20" customWidth="1"/>
    <col min="6" max="6" width="10.5703125" style="20" customWidth="1"/>
    <col min="7" max="7" width="12.7109375" style="20" customWidth="1"/>
    <col min="8" max="8" width="9.5703125" style="20" customWidth="1"/>
    <col min="9" max="9" width="4.5703125" style="20" customWidth="1"/>
    <col min="10" max="10" width="9.140625" style="3" customWidth="1"/>
    <col min="11" max="11" width="12.85546875" style="3" customWidth="1"/>
    <col min="12" max="13" width="10.7109375" style="3" customWidth="1"/>
    <col min="14" max="16384" width="9.140625" style="3"/>
  </cols>
  <sheetData>
    <row r="1" spans="1:13" ht="23.25" customHeight="1" x14ac:dyDescent="0.25">
      <c r="A1" s="88"/>
      <c r="B1" s="88"/>
      <c r="C1" s="88"/>
      <c r="D1" s="88"/>
      <c r="E1" s="88"/>
      <c r="F1" s="88"/>
      <c r="G1" s="88"/>
      <c r="H1" s="88"/>
      <c r="I1" s="88"/>
    </row>
    <row r="2" spans="1:13" x14ac:dyDescent="0.25">
      <c r="A2" s="25" t="s">
        <v>0</v>
      </c>
      <c r="B2" s="76"/>
      <c r="C2" s="76"/>
      <c r="D2" s="76"/>
      <c r="E2" s="76"/>
      <c r="F2" s="76"/>
      <c r="G2" s="25" t="s">
        <v>6</v>
      </c>
      <c r="H2" s="89"/>
      <c r="I2" s="76"/>
      <c r="K2" s="4"/>
      <c r="L2" s="5"/>
      <c r="M2" s="5"/>
    </row>
    <row r="3" spans="1:13" x14ac:dyDescent="0.25">
      <c r="A3" s="25" t="s">
        <v>4</v>
      </c>
      <c r="B3" s="90"/>
      <c r="C3" s="91"/>
      <c r="D3" s="25" t="s">
        <v>5</v>
      </c>
      <c r="E3" s="92"/>
      <c r="F3" s="92"/>
      <c r="G3" s="25" t="s">
        <v>7</v>
      </c>
      <c r="H3" s="93"/>
      <c r="I3" s="93"/>
      <c r="L3" s="4"/>
    </row>
    <row r="4" spans="1:13" x14ac:dyDescent="0.25">
      <c r="A4" s="25" t="s">
        <v>2</v>
      </c>
      <c r="B4" s="76"/>
      <c r="C4" s="76"/>
      <c r="D4" s="25" t="s">
        <v>1</v>
      </c>
      <c r="E4" s="76"/>
      <c r="F4" s="76"/>
      <c r="G4" s="25" t="s">
        <v>3</v>
      </c>
      <c r="H4" s="92"/>
      <c r="I4" s="92"/>
      <c r="L4" s="4"/>
      <c r="M4" s="4"/>
    </row>
    <row r="5" spans="1:13" x14ac:dyDescent="0.25">
      <c r="A5" s="67" t="s">
        <v>12</v>
      </c>
      <c r="B5" s="67"/>
      <c r="C5" s="94"/>
      <c r="D5" s="95"/>
      <c r="E5" s="95"/>
      <c r="F5" s="56" t="s">
        <v>97</v>
      </c>
      <c r="G5" s="95"/>
      <c r="H5" s="95"/>
      <c r="I5" s="96"/>
    </row>
    <row r="6" spans="1:13" x14ac:dyDescent="0.25">
      <c r="A6" s="25" t="s">
        <v>11</v>
      </c>
      <c r="B6" s="68"/>
      <c r="C6" s="68"/>
      <c r="D6" s="67" t="s">
        <v>30</v>
      </c>
      <c r="E6" s="67"/>
      <c r="F6" s="86"/>
      <c r="G6" s="86"/>
      <c r="H6" s="26" t="s">
        <v>31</v>
      </c>
      <c r="I6" s="27" t="s">
        <v>93</v>
      </c>
    </row>
    <row r="7" spans="1:13" x14ac:dyDescent="0.25">
      <c r="A7" s="25" t="s">
        <v>8</v>
      </c>
      <c r="B7" s="76"/>
      <c r="C7" s="76"/>
      <c r="D7" s="76"/>
      <c r="E7" s="76"/>
      <c r="F7" s="76"/>
      <c r="G7" s="76"/>
      <c r="H7" s="76"/>
      <c r="I7" s="76"/>
    </row>
    <row r="8" spans="1:13" x14ac:dyDescent="0.25">
      <c r="A8" s="25" t="s">
        <v>9</v>
      </c>
      <c r="B8" s="68"/>
      <c r="C8" s="68"/>
      <c r="D8" s="28" t="s">
        <v>27</v>
      </c>
      <c r="E8" s="87"/>
      <c r="F8" s="68"/>
      <c r="G8" s="68"/>
      <c r="H8" s="68"/>
      <c r="I8" s="68"/>
    </row>
    <row r="9" spans="1:13" x14ac:dyDescent="0.25">
      <c r="A9" s="81" t="s">
        <v>98</v>
      </c>
      <c r="B9" s="82"/>
      <c r="C9" s="59"/>
      <c r="D9" s="83" t="s">
        <v>99</v>
      </c>
      <c r="E9" s="84"/>
      <c r="F9" s="60"/>
      <c r="G9" s="61" t="s">
        <v>29</v>
      </c>
      <c r="H9" s="85"/>
      <c r="I9" s="84"/>
    </row>
    <row r="10" spans="1:13" x14ac:dyDescent="0.25">
      <c r="A10" s="77" t="s">
        <v>10</v>
      </c>
      <c r="B10" s="77"/>
      <c r="C10" s="77"/>
      <c r="D10" s="77"/>
      <c r="E10" s="77"/>
      <c r="F10" s="77"/>
      <c r="G10" s="77"/>
      <c r="H10" s="77"/>
      <c r="I10" s="77"/>
    </row>
    <row r="11" spans="1:13" ht="5.25" customHeight="1" x14ac:dyDescent="0.25">
      <c r="A11" s="77"/>
      <c r="B11" s="77"/>
      <c r="C11" s="77"/>
      <c r="D11" s="77"/>
      <c r="E11" s="77"/>
      <c r="F11" s="77"/>
      <c r="G11" s="77"/>
      <c r="H11" s="77"/>
      <c r="I11" s="77"/>
    </row>
    <row r="12" spans="1:13" ht="19.5" customHeight="1" x14ac:dyDescent="0.25">
      <c r="A12" s="78" t="s">
        <v>33</v>
      </c>
      <c r="B12" s="78"/>
      <c r="C12" s="78"/>
      <c r="D12" s="78"/>
      <c r="E12" s="79" t="s">
        <v>86</v>
      </c>
      <c r="F12" s="79"/>
      <c r="G12" s="39" t="s">
        <v>34</v>
      </c>
      <c r="H12" s="80">
        <f>IF(E12="COMPRA DE DÍVIDA",0.1,0)</f>
        <v>0.1</v>
      </c>
      <c r="I12" s="80"/>
    </row>
    <row r="13" spans="1:13" x14ac:dyDescent="0.25">
      <c r="A13" s="75" t="s">
        <v>18</v>
      </c>
      <c r="B13" s="75"/>
      <c r="C13" s="75"/>
      <c r="D13" s="75"/>
      <c r="E13" s="75" t="s">
        <v>22</v>
      </c>
      <c r="F13" s="75"/>
      <c r="G13" s="75"/>
      <c r="H13" s="75"/>
      <c r="I13" s="75"/>
    </row>
    <row r="14" spans="1:13" x14ac:dyDescent="0.25">
      <c r="A14" s="67" t="s">
        <v>13</v>
      </c>
      <c r="B14" s="67"/>
      <c r="C14" s="76"/>
      <c r="D14" s="76"/>
      <c r="E14" s="67" t="s">
        <v>13</v>
      </c>
      <c r="F14" s="67"/>
      <c r="G14" s="76"/>
      <c r="H14" s="76"/>
      <c r="I14" s="76"/>
    </row>
    <row r="15" spans="1:13" x14ac:dyDescent="0.25">
      <c r="A15" s="67" t="s">
        <v>35</v>
      </c>
      <c r="B15" s="67"/>
      <c r="C15" s="76"/>
      <c r="D15" s="76"/>
      <c r="E15" s="67" t="s">
        <v>14</v>
      </c>
      <c r="F15" s="67"/>
      <c r="G15" s="76"/>
      <c r="H15" s="76"/>
      <c r="I15" s="76"/>
    </row>
    <row r="16" spans="1:13" x14ac:dyDescent="0.25">
      <c r="A16" s="67" t="s">
        <v>28</v>
      </c>
      <c r="B16" s="67"/>
      <c r="C16" s="97"/>
      <c r="D16" s="97"/>
      <c r="E16" s="67" t="s">
        <v>15</v>
      </c>
      <c r="F16" s="67"/>
      <c r="G16" s="98"/>
      <c r="H16" s="98"/>
      <c r="I16" s="98"/>
    </row>
    <row r="17" spans="1:12" x14ac:dyDescent="0.25">
      <c r="A17" s="81" t="s">
        <v>15</v>
      </c>
      <c r="B17" s="99"/>
      <c r="C17" s="86"/>
      <c r="D17" s="86"/>
      <c r="E17" s="67" t="s">
        <v>20</v>
      </c>
      <c r="F17" s="67"/>
      <c r="G17" s="100">
        <f>G18-C18-C19</f>
        <v>0</v>
      </c>
      <c r="H17" s="100"/>
      <c r="I17" s="100"/>
      <c r="K17" s="2" t="s">
        <v>19</v>
      </c>
      <c r="L17" s="1">
        <v>0.3</v>
      </c>
    </row>
    <row r="18" spans="1:12" x14ac:dyDescent="0.25">
      <c r="A18" s="67" t="s">
        <v>16</v>
      </c>
      <c r="B18" s="67"/>
      <c r="C18" s="101"/>
      <c r="D18" s="101"/>
      <c r="E18" s="67" t="s">
        <v>17</v>
      </c>
      <c r="F18" s="67"/>
      <c r="G18" s="100"/>
      <c r="H18" s="100"/>
      <c r="I18" s="100"/>
    </row>
    <row r="19" spans="1:12" ht="17.25" customHeight="1" x14ac:dyDescent="0.25">
      <c r="A19" s="102" t="s">
        <v>101</v>
      </c>
      <c r="B19" s="103"/>
      <c r="C19" s="104">
        <f>C18*H12</f>
        <v>0</v>
      </c>
      <c r="D19" s="104"/>
      <c r="E19" s="104"/>
      <c r="F19" s="104"/>
      <c r="G19" s="104"/>
      <c r="H19" s="104"/>
      <c r="I19" s="104"/>
    </row>
    <row r="20" spans="1:12" ht="17.25" customHeight="1" x14ac:dyDescent="0.25">
      <c r="A20" s="63" t="s">
        <v>19</v>
      </c>
      <c r="B20" s="63"/>
      <c r="C20" s="64">
        <f>G17*L17</f>
        <v>0</v>
      </c>
      <c r="D20" s="64"/>
      <c r="E20" s="64"/>
      <c r="F20" s="64"/>
      <c r="G20" s="64"/>
      <c r="H20" s="64"/>
      <c r="I20" s="64"/>
    </row>
    <row r="21" spans="1:12" ht="17.25" customHeight="1" x14ac:dyDescent="0.25">
      <c r="A21" s="57" t="s">
        <v>21</v>
      </c>
      <c r="B21" s="58"/>
      <c r="C21" s="72">
        <f>G17-C20</f>
        <v>0</v>
      </c>
      <c r="D21" s="73"/>
      <c r="E21" s="73"/>
      <c r="F21" s="73"/>
      <c r="G21" s="73"/>
      <c r="H21" s="73"/>
      <c r="I21" s="74"/>
    </row>
    <row r="22" spans="1:12" ht="17.25" customHeight="1" x14ac:dyDescent="0.25">
      <c r="A22" s="57" t="s">
        <v>102</v>
      </c>
      <c r="B22" s="58"/>
      <c r="C22" s="72"/>
      <c r="D22" s="73"/>
      <c r="E22" s="73"/>
      <c r="F22" s="73"/>
      <c r="G22" s="73"/>
      <c r="H22" s="73"/>
      <c r="I22" s="74"/>
    </row>
    <row r="23" spans="1:12" x14ac:dyDescent="0.25">
      <c r="A23" s="102" t="s">
        <v>100</v>
      </c>
      <c r="B23" s="103"/>
      <c r="C23" s="64">
        <f>C21-C22</f>
        <v>0</v>
      </c>
      <c r="D23" s="63"/>
      <c r="E23" s="63"/>
      <c r="F23" s="63"/>
      <c r="G23" s="63"/>
      <c r="H23" s="63"/>
      <c r="I23" s="63"/>
    </row>
    <row r="24" spans="1:12" ht="15" customHeight="1" x14ac:dyDescent="0.25">
      <c r="A24" s="43" t="s">
        <v>13</v>
      </c>
      <c r="B24" s="43" t="s">
        <v>88</v>
      </c>
      <c r="C24" s="43" t="s">
        <v>89</v>
      </c>
      <c r="D24" s="43" t="s">
        <v>92</v>
      </c>
      <c r="E24" s="44" t="s">
        <v>90</v>
      </c>
      <c r="F24" s="41"/>
      <c r="G24" s="41"/>
      <c r="H24" s="41"/>
      <c r="I24" s="42"/>
    </row>
    <row r="25" spans="1:12" ht="12" customHeight="1" x14ac:dyDescent="0.25">
      <c r="A25" s="52"/>
      <c r="B25" s="55"/>
      <c r="C25" s="54"/>
      <c r="D25" s="52"/>
      <c r="E25" s="46"/>
      <c r="F25" s="46"/>
      <c r="G25" s="46"/>
      <c r="H25" s="46"/>
      <c r="I25" s="47"/>
    </row>
    <row r="26" spans="1:12" ht="12" customHeight="1" x14ac:dyDescent="0.25">
      <c r="A26" s="52"/>
      <c r="B26" s="54"/>
      <c r="C26" s="53"/>
      <c r="D26" s="52"/>
      <c r="E26" s="48"/>
      <c r="F26" s="48"/>
      <c r="G26" s="48"/>
      <c r="H26" s="48"/>
      <c r="I26" s="49"/>
    </row>
    <row r="27" spans="1:12" ht="12" customHeight="1" x14ac:dyDescent="0.25">
      <c r="A27" s="52"/>
      <c r="B27" s="54"/>
      <c r="C27" s="53"/>
      <c r="D27" s="52"/>
      <c r="E27" s="48"/>
      <c r="F27" s="48"/>
      <c r="G27" s="48"/>
      <c r="H27" s="48"/>
      <c r="I27" s="49"/>
    </row>
    <row r="28" spans="1:12" ht="12" customHeight="1" x14ac:dyDescent="0.25">
      <c r="A28" s="52"/>
      <c r="B28" s="54"/>
      <c r="C28" s="53"/>
      <c r="D28" s="52"/>
      <c r="E28" s="48"/>
      <c r="F28" s="48"/>
      <c r="G28" s="48"/>
      <c r="H28" s="48"/>
      <c r="I28" s="49"/>
    </row>
    <row r="29" spans="1:12" ht="12" customHeight="1" x14ac:dyDescent="0.25">
      <c r="A29" s="52"/>
      <c r="B29" s="54"/>
      <c r="C29" s="54"/>
      <c r="D29" s="52"/>
      <c r="E29" s="48"/>
      <c r="F29" s="48"/>
      <c r="G29" s="48"/>
      <c r="H29" s="48"/>
      <c r="I29" s="49"/>
    </row>
    <row r="30" spans="1:12" ht="12" customHeight="1" x14ac:dyDescent="0.25">
      <c r="A30" s="52"/>
      <c r="B30" s="53"/>
      <c r="C30" s="54"/>
      <c r="D30" s="52"/>
      <c r="E30" s="48"/>
      <c r="F30" s="48"/>
      <c r="G30" s="48"/>
      <c r="H30" s="48"/>
      <c r="I30" s="49"/>
    </row>
    <row r="31" spans="1:12" ht="12" customHeight="1" x14ac:dyDescent="0.25">
      <c r="A31" s="52"/>
      <c r="B31" s="54"/>
      <c r="C31" s="54"/>
      <c r="D31" s="52"/>
      <c r="E31" s="48"/>
      <c r="F31" s="48"/>
      <c r="G31" s="48"/>
      <c r="H31" s="48"/>
      <c r="I31" s="49"/>
    </row>
    <row r="32" spans="1:12" ht="12" customHeight="1" x14ac:dyDescent="0.25">
      <c r="A32" s="52"/>
      <c r="B32" s="53"/>
      <c r="C32" s="54"/>
      <c r="D32" s="52"/>
      <c r="E32" s="48"/>
      <c r="F32" s="48"/>
      <c r="G32" s="48"/>
      <c r="H32" s="48"/>
      <c r="I32" s="49"/>
    </row>
    <row r="33" spans="1:9" ht="12" customHeight="1" x14ac:dyDescent="0.25">
      <c r="A33" s="52"/>
      <c r="B33" s="54"/>
      <c r="C33" s="54"/>
      <c r="D33" s="52"/>
      <c r="E33" s="48"/>
      <c r="F33" s="48"/>
      <c r="G33" s="48"/>
      <c r="H33" s="48"/>
      <c r="I33" s="49"/>
    </row>
    <row r="34" spans="1:9" ht="12" customHeight="1" x14ac:dyDescent="0.25">
      <c r="A34" s="40"/>
      <c r="B34" s="54"/>
      <c r="C34" s="54"/>
      <c r="D34" s="40"/>
      <c r="E34" s="48"/>
      <c r="F34" s="48"/>
      <c r="G34" s="48"/>
      <c r="H34" s="48"/>
      <c r="I34" s="49"/>
    </row>
    <row r="35" spans="1:9" ht="12" customHeight="1" x14ac:dyDescent="0.25">
      <c r="A35" s="40"/>
      <c r="B35" s="54"/>
      <c r="C35" s="54"/>
      <c r="D35" s="40"/>
      <c r="E35" s="48"/>
      <c r="F35" s="48"/>
      <c r="G35" s="48"/>
      <c r="H35" s="48"/>
      <c r="I35" s="49"/>
    </row>
    <row r="36" spans="1:9" ht="12" customHeight="1" x14ac:dyDescent="0.25">
      <c r="A36" s="40"/>
      <c r="B36" s="54"/>
      <c r="C36" s="54"/>
      <c r="D36" s="40"/>
      <c r="E36" s="48"/>
      <c r="F36" s="48"/>
      <c r="G36" s="48"/>
      <c r="H36" s="48"/>
      <c r="I36" s="49"/>
    </row>
    <row r="37" spans="1:9" ht="12" customHeight="1" x14ac:dyDescent="0.25">
      <c r="A37" s="40"/>
      <c r="B37" s="54"/>
      <c r="C37" s="54"/>
      <c r="D37" s="40"/>
      <c r="E37" s="48"/>
      <c r="F37" s="48"/>
      <c r="G37" s="48"/>
      <c r="H37" s="48"/>
      <c r="I37" s="49"/>
    </row>
    <row r="38" spans="1:9" ht="12" customHeight="1" x14ac:dyDescent="0.25">
      <c r="A38" s="45" t="s">
        <v>91</v>
      </c>
      <c r="B38" s="62">
        <f>SUM(B25:B37)</f>
        <v>0</v>
      </c>
      <c r="C38" s="62">
        <f>SUM(C25:C37)</f>
        <v>0</v>
      </c>
      <c r="D38" s="40"/>
      <c r="E38" s="50"/>
      <c r="F38" s="50"/>
      <c r="G38" s="50"/>
      <c r="H38" s="50"/>
      <c r="I38" s="51"/>
    </row>
    <row r="39" spans="1:9" x14ac:dyDescent="0.25">
      <c r="A39" s="77" t="s">
        <v>23</v>
      </c>
      <c r="B39" s="77"/>
      <c r="C39" s="77"/>
      <c r="D39" s="77"/>
      <c r="E39" s="77"/>
      <c r="F39" s="77"/>
      <c r="G39" s="77"/>
      <c r="H39" s="77"/>
      <c r="I39" s="77"/>
    </row>
    <row r="40" spans="1:9" x14ac:dyDescent="0.25">
      <c r="A40" s="67" t="s">
        <v>13</v>
      </c>
      <c r="B40" s="67"/>
      <c r="C40" s="68"/>
      <c r="D40" s="68"/>
      <c r="E40" s="29" t="s">
        <v>24</v>
      </c>
      <c r="F40" s="30"/>
      <c r="G40" s="29" t="s">
        <v>25</v>
      </c>
      <c r="H40" s="68"/>
      <c r="I40" s="68"/>
    </row>
    <row r="41" spans="1:9" x14ac:dyDescent="0.25">
      <c r="A41" s="67" t="s">
        <v>26</v>
      </c>
      <c r="B41" s="67"/>
      <c r="C41" s="68" t="s">
        <v>94</v>
      </c>
      <c r="D41" s="68"/>
      <c r="E41" s="31"/>
      <c r="F41" s="31"/>
      <c r="G41" s="31"/>
      <c r="H41" s="31"/>
      <c r="I41" s="31"/>
    </row>
    <row r="42" spans="1:9" x14ac:dyDescent="0.25">
      <c r="A42" s="31"/>
      <c r="B42" s="31"/>
      <c r="C42" s="31"/>
      <c r="D42" s="31"/>
      <c r="E42" s="31"/>
      <c r="F42" s="31"/>
      <c r="G42" s="31"/>
      <c r="H42" s="31"/>
      <c r="I42" s="31"/>
    </row>
    <row r="43" spans="1:9" x14ac:dyDescent="0.25">
      <c r="A43" s="31"/>
      <c r="B43" s="31"/>
      <c r="C43" s="31"/>
      <c r="D43" s="31"/>
      <c r="E43" s="31"/>
      <c r="F43" s="31"/>
      <c r="G43" s="31"/>
      <c r="H43" s="31"/>
      <c r="I43" s="31"/>
    </row>
    <row r="44" spans="1:9" x14ac:dyDescent="0.25">
      <c r="A44" s="31"/>
      <c r="B44" s="69" t="s">
        <v>32</v>
      </c>
      <c r="C44" s="69"/>
      <c r="D44" s="69"/>
      <c r="E44" s="69"/>
      <c r="F44" s="69"/>
      <c r="G44" s="32"/>
      <c r="H44" s="33"/>
      <c r="I44" s="31"/>
    </row>
    <row r="45" spans="1:9" x14ac:dyDescent="0.25">
      <c r="A45" s="31"/>
      <c r="B45" s="70" t="s">
        <v>96</v>
      </c>
      <c r="C45" s="70"/>
      <c r="D45" s="70"/>
      <c r="E45" s="70"/>
      <c r="F45" s="70"/>
      <c r="G45" s="34" t="s">
        <v>87</v>
      </c>
      <c r="H45" s="35">
        <f ca="1">TODAY()</f>
        <v>44390</v>
      </c>
      <c r="I45" s="31"/>
    </row>
    <row r="46" spans="1:9" x14ac:dyDescent="0.25">
      <c r="A46" s="31"/>
      <c r="B46" s="31"/>
      <c r="C46" s="31"/>
      <c r="D46" s="31"/>
      <c r="E46" s="31"/>
      <c r="F46" s="31"/>
      <c r="G46" s="31"/>
      <c r="H46" s="31"/>
      <c r="I46" s="31"/>
    </row>
    <row r="47" spans="1:9" x14ac:dyDescent="0.25">
      <c r="A47" s="31"/>
      <c r="B47" s="31"/>
      <c r="C47" s="71"/>
      <c r="D47" s="71"/>
      <c r="E47" s="71"/>
      <c r="F47" s="71"/>
      <c r="G47" s="71"/>
      <c r="H47" s="71"/>
      <c r="I47" s="71"/>
    </row>
    <row r="48" spans="1:9" ht="28.5" customHeight="1" x14ac:dyDescent="0.25">
      <c r="A48" s="31"/>
      <c r="B48" s="31"/>
      <c r="C48" s="71"/>
      <c r="D48" s="71"/>
      <c r="E48" s="71"/>
      <c r="F48" s="71"/>
      <c r="G48" s="71"/>
      <c r="H48" s="71"/>
      <c r="I48" s="71"/>
    </row>
    <row r="49" spans="1:9" ht="23.25" customHeight="1" x14ac:dyDescent="0.25">
      <c r="A49" s="31"/>
      <c r="B49" s="31"/>
      <c r="C49" s="71"/>
      <c r="D49" s="71"/>
      <c r="E49" s="71"/>
      <c r="F49" s="71"/>
      <c r="G49" s="71"/>
      <c r="H49" s="71"/>
      <c r="I49" s="71"/>
    </row>
    <row r="50" spans="1:9" ht="49.5" customHeight="1" x14ac:dyDescent="0.25">
      <c r="A50" s="65" t="s">
        <v>95</v>
      </c>
      <c r="B50" s="66"/>
      <c r="C50" s="66"/>
      <c r="D50" s="66"/>
      <c r="E50" s="66"/>
      <c r="F50" s="66"/>
      <c r="G50" s="66"/>
      <c r="H50" s="66"/>
      <c r="I50" s="66"/>
    </row>
  </sheetData>
  <sheetProtection selectLockedCells="1"/>
  <dataConsolidate/>
  <mergeCells count="65">
    <mergeCell ref="A17:B17"/>
    <mergeCell ref="A40:B40"/>
    <mergeCell ref="C40:D40"/>
    <mergeCell ref="A39:I39"/>
    <mergeCell ref="H40:I40"/>
    <mergeCell ref="C17:D17"/>
    <mergeCell ref="E17:F17"/>
    <mergeCell ref="G17:I17"/>
    <mergeCell ref="C18:D18"/>
    <mergeCell ref="E18:F18"/>
    <mergeCell ref="G18:I18"/>
    <mergeCell ref="A18:B18"/>
    <mergeCell ref="A23:B23"/>
    <mergeCell ref="C23:I23"/>
    <mergeCell ref="A19:B19"/>
    <mergeCell ref="C19:I19"/>
    <mergeCell ref="A15:B15"/>
    <mergeCell ref="C15:D15"/>
    <mergeCell ref="E15:F15"/>
    <mergeCell ref="G15:I15"/>
    <mergeCell ref="A16:B16"/>
    <mergeCell ref="C16:D16"/>
    <mergeCell ref="E16:F16"/>
    <mergeCell ref="G16:I16"/>
    <mergeCell ref="B4:C4"/>
    <mergeCell ref="E4:F4"/>
    <mergeCell ref="H4:I4"/>
    <mergeCell ref="A5:B5"/>
    <mergeCell ref="C5:E5"/>
    <mergeCell ref="G5:I5"/>
    <mergeCell ref="A1:I1"/>
    <mergeCell ref="B2:F2"/>
    <mergeCell ref="H2:I2"/>
    <mergeCell ref="B3:C3"/>
    <mergeCell ref="E3:F3"/>
    <mergeCell ref="H3:I3"/>
    <mergeCell ref="D6:E6"/>
    <mergeCell ref="F6:G6"/>
    <mergeCell ref="B7:I7"/>
    <mergeCell ref="B8:C8"/>
    <mergeCell ref="E8:I8"/>
    <mergeCell ref="B6:C6"/>
    <mergeCell ref="A10:I11"/>
    <mergeCell ref="A12:D12"/>
    <mergeCell ref="E12:F12"/>
    <mergeCell ref="H12:I12"/>
    <mergeCell ref="A9:B9"/>
    <mergeCell ref="D9:E9"/>
    <mergeCell ref="H9:I9"/>
    <mergeCell ref="E13:I13"/>
    <mergeCell ref="A14:B14"/>
    <mergeCell ref="C14:D14"/>
    <mergeCell ref="E14:F14"/>
    <mergeCell ref="G14:I14"/>
    <mergeCell ref="A13:D13"/>
    <mergeCell ref="A20:B20"/>
    <mergeCell ref="C20:I20"/>
    <mergeCell ref="A50:I50"/>
    <mergeCell ref="A41:B41"/>
    <mergeCell ref="C41:D41"/>
    <mergeCell ref="B44:F44"/>
    <mergeCell ref="B45:F45"/>
    <mergeCell ref="C47:I49"/>
    <mergeCell ref="C21:I21"/>
    <mergeCell ref="C22:I22"/>
  </mergeCells>
  <dataValidations count="7">
    <dataValidation type="list" allowBlank="1" showInputMessage="1" showErrorMessage="1" sqref="E4:F4">
      <formula1>"SAEB,FUNPREV,APOSENTADO,ATIVO,PENSIONISTA"</formula1>
    </dataValidation>
    <dataValidation type="list" allowBlank="1" showInputMessage="1" showErrorMessage="1" sqref="E12:F12">
      <formula1>"MARGEM,REFINANCIAMENTO,PORTABILIDADE,COMPRA DE DÍVIDA"</formula1>
    </dataValidation>
    <dataValidation type="list" allowBlank="1" showInputMessage="1" showErrorMessage="1" sqref="C41:D41">
      <formula1>"CORRENTE,POUPANÇA"</formula1>
    </dataValidation>
    <dataValidation type="list" allowBlank="1" showInputMessage="1" showErrorMessage="1" sqref="I6">
      <formula1>"SIM,NÃO"</formula1>
    </dataValidation>
    <dataValidation type="list" allowBlank="1" showInputMessage="1" showErrorMessage="1" sqref="B4:C4">
      <formula1>"GOVERNO BA,SIAPE,INSS,EXÉRCITO,MARINHA,TJ BA,PREFEITURA"</formula1>
    </dataValidation>
    <dataValidation type="list" allowBlank="1" showInputMessage="1" showErrorMessage="1" sqref="G15:I15">
      <formula1>"48,72,96,110,120"</formula1>
    </dataValidation>
    <dataValidation type="list" allowBlank="1" showInputMessage="1" showErrorMessage="1" sqref="F9">
      <formula1>"CÔNJUGE,FILHO,MÃE,IRMÃO"</formula1>
    </dataValidation>
  </dataValidations>
  <pageMargins left="0.51181102362204722" right="0.51181102362204722" top="0.78740157480314965" bottom="0.78740157480314965" header="0.31496062992125984" footer="0.31496062992125984"/>
  <pageSetup paperSize="9" orientation="portrait" r:id="rId1"/>
  <headerFooter>
    <oddHeader>&amp;C&amp;G</oddHead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N115"/>
  <sheetViews>
    <sheetView topLeftCell="A58" zoomScaleNormal="100" workbookViewId="0">
      <selection activeCell="A63" sqref="A63:C63"/>
    </sheetView>
  </sheetViews>
  <sheetFormatPr defaultRowHeight="15" x14ac:dyDescent="0.25"/>
  <cols>
    <col min="1" max="6" width="9.140625" style="13"/>
    <col min="7" max="7" width="10.85546875" style="13" customWidth="1"/>
    <col min="8" max="8" width="9.140625" style="13"/>
    <col min="9" max="9" width="7.85546875" style="13" customWidth="1"/>
    <col min="10" max="10" width="9.140625" style="13" customWidth="1"/>
  </cols>
  <sheetData>
    <row r="1" spans="1:10" x14ac:dyDescent="0.25">
      <c r="A1" s="111" t="s">
        <v>85</v>
      </c>
      <c r="B1" s="111"/>
      <c r="C1" s="111"/>
      <c r="D1" s="111"/>
      <c r="E1" s="111"/>
      <c r="F1" s="111"/>
      <c r="G1" s="111"/>
      <c r="H1" s="111"/>
      <c r="I1" s="111"/>
      <c r="J1" s="111"/>
    </row>
    <row r="2" spans="1:10" x14ac:dyDescent="0.25">
      <c r="A2" s="111"/>
      <c r="B2" s="111"/>
      <c r="C2" s="111"/>
      <c r="D2" s="111"/>
      <c r="E2" s="111"/>
      <c r="F2" s="111"/>
      <c r="G2" s="111"/>
      <c r="H2" s="111"/>
      <c r="I2" s="111"/>
      <c r="J2" s="111"/>
    </row>
    <row r="3" spans="1:10" x14ac:dyDescent="0.25">
      <c r="A3" s="111"/>
      <c r="B3" s="111"/>
      <c r="C3" s="111"/>
      <c r="D3" s="111"/>
      <c r="E3" s="111"/>
      <c r="F3" s="111"/>
      <c r="G3" s="111"/>
      <c r="H3" s="111"/>
      <c r="I3" s="111"/>
      <c r="J3" s="111"/>
    </row>
    <row r="4" spans="1:10" x14ac:dyDescent="0.25">
      <c r="A4" s="111"/>
      <c r="B4" s="111"/>
      <c r="C4" s="111"/>
      <c r="D4" s="111"/>
      <c r="E4" s="111"/>
      <c r="F4" s="111"/>
      <c r="G4" s="111"/>
      <c r="H4" s="111"/>
      <c r="I4" s="111"/>
      <c r="J4" s="111"/>
    </row>
    <row r="5" spans="1:10" x14ac:dyDescent="0.25">
      <c r="A5" s="118" t="s">
        <v>36</v>
      </c>
      <c r="B5" s="118"/>
      <c r="C5" s="118"/>
      <c r="D5" s="118"/>
      <c r="E5" s="118"/>
      <c r="F5" s="118"/>
      <c r="G5" s="118"/>
      <c r="H5" s="118"/>
      <c r="I5" s="118"/>
      <c r="J5" s="118"/>
    </row>
    <row r="6" spans="1:10" x14ac:dyDescent="0.25">
      <c r="A6" s="123" t="s">
        <v>37</v>
      </c>
      <c r="B6" s="123"/>
      <c r="C6" s="106">
        <f>Ficha!B2</f>
        <v>0</v>
      </c>
      <c r="D6" s="106"/>
      <c r="E6" s="106"/>
      <c r="F6" s="106"/>
      <c r="G6" s="106"/>
      <c r="H6" s="106"/>
      <c r="I6" s="106"/>
      <c r="J6" s="106"/>
    </row>
    <row r="7" spans="1:10" x14ac:dyDescent="0.25">
      <c r="A7" s="106" t="s">
        <v>38</v>
      </c>
      <c r="B7" s="106"/>
      <c r="C7" s="106"/>
      <c r="D7" s="106"/>
      <c r="E7" s="18"/>
      <c r="F7" s="19" t="s">
        <v>39</v>
      </c>
      <c r="G7" s="106">
        <f>Ficha!G6</f>
        <v>0</v>
      </c>
      <c r="H7" s="106"/>
      <c r="I7" s="106"/>
      <c r="J7" s="106"/>
    </row>
    <row r="8" spans="1:10" x14ac:dyDescent="0.25">
      <c r="A8" s="19" t="s">
        <v>40</v>
      </c>
      <c r="B8" s="19"/>
      <c r="C8" s="106">
        <f>Ficha!B3</f>
        <v>0</v>
      </c>
      <c r="D8" s="106"/>
      <c r="E8" s="19" t="s">
        <v>41</v>
      </c>
      <c r="F8" s="116">
        <f>Ficha!E3</f>
        <v>0</v>
      </c>
      <c r="G8" s="106"/>
      <c r="H8" s="117" t="s">
        <v>42</v>
      </c>
      <c r="I8" s="117"/>
      <c r="J8" s="117"/>
    </row>
    <row r="9" spans="1:10" x14ac:dyDescent="0.25">
      <c r="A9" s="107">
        <f>Ficha!B7</f>
        <v>0</v>
      </c>
      <c r="B9" s="108"/>
      <c r="C9" s="108"/>
      <c r="D9" s="108"/>
      <c r="E9" s="108"/>
      <c r="F9" s="108"/>
      <c r="G9" s="108"/>
      <c r="H9" s="108"/>
      <c r="I9" s="108"/>
      <c r="J9" s="109"/>
    </row>
    <row r="10" spans="1:10" x14ac:dyDescent="0.25">
      <c r="A10" s="19" t="s">
        <v>43</v>
      </c>
      <c r="B10" s="106">
        <f>Ficha!B8</f>
        <v>0</v>
      </c>
      <c r="C10" s="106"/>
      <c r="D10" s="106"/>
      <c r="E10" s="19" t="s">
        <v>44</v>
      </c>
      <c r="F10" s="107">
        <f>Ficha!E9</f>
        <v>0</v>
      </c>
      <c r="G10" s="108"/>
      <c r="H10" s="108"/>
      <c r="I10" s="108"/>
      <c r="J10" s="109"/>
    </row>
    <row r="11" spans="1:10" ht="15" customHeight="1" x14ac:dyDescent="0.25">
      <c r="A11" s="110" t="s">
        <v>79</v>
      </c>
      <c r="B11" s="110"/>
      <c r="C11" s="110"/>
      <c r="D11" s="110"/>
      <c r="E11" s="110"/>
      <c r="F11" s="110"/>
      <c r="G11" s="110"/>
      <c r="H11" s="110"/>
      <c r="I11" s="110"/>
      <c r="J11" s="110"/>
    </row>
    <row r="12" spans="1:10" x14ac:dyDescent="0.25">
      <c r="A12" s="110"/>
      <c r="B12" s="110"/>
      <c r="C12" s="110"/>
      <c r="D12" s="110"/>
      <c r="E12" s="110"/>
      <c r="F12" s="110"/>
      <c r="G12" s="110"/>
      <c r="H12" s="110"/>
      <c r="I12" s="110"/>
      <c r="J12" s="110"/>
    </row>
    <row r="13" spans="1:10" ht="12" customHeight="1" x14ac:dyDescent="0.25">
      <c r="A13" s="110"/>
      <c r="B13" s="110"/>
      <c r="C13" s="110"/>
      <c r="D13" s="110"/>
      <c r="E13" s="110"/>
      <c r="F13" s="110"/>
      <c r="G13" s="110"/>
      <c r="H13" s="110"/>
      <c r="I13" s="110"/>
      <c r="J13" s="110"/>
    </row>
    <row r="14" spans="1:10" x14ac:dyDescent="0.25">
      <c r="A14" s="110"/>
      <c r="B14" s="110"/>
      <c r="C14" s="110"/>
      <c r="D14" s="110"/>
      <c r="E14" s="110"/>
      <c r="F14" s="110"/>
      <c r="G14" s="110"/>
      <c r="H14" s="110"/>
      <c r="I14" s="110"/>
      <c r="J14" s="110"/>
    </row>
    <row r="15" spans="1:10" ht="13.5" customHeight="1" x14ac:dyDescent="0.25">
      <c r="A15" s="110"/>
      <c r="B15" s="110"/>
      <c r="C15" s="110"/>
      <c r="D15" s="110"/>
      <c r="E15" s="110"/>
      <c r="F15" s="110"/>
      <c r="G15" s="110"/>
      <c r="H15" s="110"/>
      <c r="I15" s="110"/>
      <c r="J15" s="110"/>
    </row>
    <row r="16" spans="1:10" ht="23.25" customHeight="1" x14ac:dyDescent="0.25">
      <c r="A16" s="110"/>
      <c r="B16" s="110"/>
      <c r="C16" s="110"/>
      <c r="D16" s="110"/>
      <c r="E16" s="110"/>
      <c r="F16" s="110"/>
      <c r="G16" s="110"/>
      <c r="H16" s="110"/>
      <c r="I16" s="110"/>
      <c r="J16" s="110"/>
    </row>
    <row r="17" spans="1:10" ht="1.5" hidden="1" customHeight="1" x14ac:dyDescent="0.25">
      <c r="A17" s="110"/>
      <c r="B17" s="110"/>
      <c r="C17" s="110"/>
      <c r="D17" s="110"/>
      <c r="E17" s="110"/>
      <c r="F17" s="110"/>
      <c r="G17" s="110"/>
      <c r="H17" s="110"/>
      <c r="I17" s="110"/>
      <c r="J17" s="110"/>
    </row>
    <row r="18" spans="1:10" ht="6" hidden="1" customHeight="1" x14ac:dyDescent="0.25">
      <c r="A18" s="110"/>
      <c r="B18" s="110"/>
      <c r="C18" s="110"/>
      <c r="D18" s="110"/>
      <c r="E18" s="110"/>
      <c r="F18" s="110"/>
      <c r="G18" s="110"/>
      <c r="H18" s="110"/>
      <c r="I18" s="110"/>
      <c r="J18" s="110"/>
    </row>
    <row r="19" spans="1:10" ht="9" hidden="1" customHeight="1" x14ac:dyDescent="0.25">
      <c r="A19" s="110"/>
      <c r="B19" s="110"/>
      <c r="C19" s="110"/>
      <c r="D19" s="110"/>
      <c r="E19" s="110"/>
      <c r="F19" s="110"/>
      <c r="G19" s="110"/>
      <c r="H19" s="110"/>
      <c r="I19" s="110"/>
      <c r="J19" s="110"/>
    </row>
    <row r="20" spans="1:10" ht="14.25" hidden="1" customHeight="1" x14ac:dyDescent="0.25">
      <c r="A20" s="110"/>
      <c r="B20" s="110"/>
      <c r="C20" s="110"/>
      <c r="D20" s="110"/>
      <c r="E20" s="110"/>
      <c r="F20" s="110"/>
      <c r="G20" s="110"/>
      <c r="H20" s="110"/>
      <c r="I20" s="110"/>
      <c r="J20" s="110"/>
    </row>
    <row r="21" spans="1:10" hidden="1" x14ac:dyDescent="0.25">
      <c r="A21" s="110"/>
      <c r="B21" s="110"/>
      <c r="C21" s="110"/>
      <c r="D21" s="110"/>
      <c r="E21" s="110"/>
      <c r="F21" s="110"/>
      <c r="G21" s="110"/>
      <c r="H21" s="110"/>
      <c r="I21" s="110"/>
      <c r="J21" s="110"/>
    </row>
    <row r="22" spans="1:10" ht="9" hidden="1" customHeight="1" x14ac:dyDescent="0.25">
      <c r="A22" s="110"/>
      <c r="B22" s="110"/>
      <c r="C22" s="110"/>
      <c r="D22" s="110"/>
      <c r="E22" s="110"/>
      <c r="F22" s="110"/>
      <c r="G22" s="110"/>
      <c r="H22" s="110"/>
      <c r="I22" s="110"/>
      <c r="J22" s="110"/>
    </row>
    <row r="23" spans="1:10" x14ac:dyDescent="0.25">
      <c r="A23" s="110"/>
      <c r="B23" s="110"/>
      <c r="C23" s="110"/>
      <c r="D23" s="110"/>
      <c r="E23" s="110"/>
      <c r="F23" s="110"/>
      <c r="G23" s="110"/>
      <c r="H23" s="110"/>
      <c r="I23" s="110"/>
      <c r="J23" s="110"/>
    </row>
    <row r="24" spans="1:10" x14ac:dyDescent="0.25">
      <c r="A24" s="120" t="s">
        <v>78</v>
      </c>
      <c r="B24" s="120"/>
      <c r="C24" s="120"/>
      <c r="D24" s="120"/>
      <c r="E24" s="120"/>
      <c r="F24" s="120"/>
      <c r="G24" s="120"/>
      <c r="H24" s="120"/>
      <c r="I24" s="120"/>
      <c r="J24" s="120"/>
    </row>
    <row r="25" spans="1:10" x14ac:dyDescent="0.25">
      <c r="A25" s="136" t="s">
        <v>74</v>
      </c>
      <c r="B25" s="136"/>
      <c r="C25" s="136"/>
      <c r="D25" s="136"/>
      <c r="E25" s="136"/>
      <c r="F25" s="136"/>
      <c r="G25" s="136"/>
      <c r="H25" s="136"/>
      <c r="I25" s="136"/>
      <c r="J25" s="136"/>
    </row>
    <row r="26" spans="1:10" ht="3.75" customHeight="1" x14ac:dyDescent="0.25">
      <c r="A26" s="137"/>
      <c r="B26" s="137"/>
      <c r="C26" s="137"/>
      <c r="D26" s="137"/>
      <c r="E26" s="137"/>
      <c r="F26" s="137"/>
      <c r="G26" s="137"/>
      <c r="H26" s="137"/>
      <c r="I26" s="137"/>
      <c r="J26" s="137"/>
    </row>
    <row r="27" spans="1:10" ht="18" customHeight="1" x14ac:dyDescent="0.25">
      <c r="A27" s="137"/>
      <c r="B27" s="137"/>
      <c r="C27" s="137"/>
      <c r="D27" s="137"/>
      <c r="E27" s="137"/>
      <c r="F27" s="137"/>
      <c r="G27" s="137"/>
      <c r="H27" s="137"/>
      <c r="I27" s="137"/>
      <c r="J27" s="137"/>
    </row>
    <row r="28" spans="1:10" ht="5.25" customHeight="1" x14ac:dyDescent="0.25">
      <c r="A28" s="137"/>
      <c r="B28" s="137"/>
      <c r="C28" s="137"/>
      <c r="D28" s="137"/>
      <c r="E28" s="137"/>
      <c r="F28" s="137"/>
      <c r="G28" s="137"/>
      <c r="H28" s="137"/>
      <c r="I28" s="137"/>
      <c r="J28" s="137"/>
    </row>
    <row r="29" spans="1:10" ht="2.25" customHeight="1" x14ac:dyDescent="0.25">
      <c r="A29" s="137"/>
      <c r="B29" s="137"/>
      <c r="C29" s="137"/>
      <c r="D29" s="137"/>
      <c r="E29" s="137"/>
      <c r="F29" s="137"/>
      <c r="G29" s="137"/>
      <c r="H29" s="137"/>
      <c r="I29" s="137"/>
      <c r="J29" s="137"/>
    </row>
    <row r="30" spans="1:10" ht="10.5" customHeight="1" x14ac:dyDescent="0.25">
      <c r="A30" s="137"/>
      <c r="B30" s="137"/>
      <c r="C30" s="137"/>
      <c r="D30" s="137"/>
      <c r="E30" s="137"/>
      <c r="F30" s="137"/>
      <c r="G30" s="137"/>
      <c r="H30" s="137"/>
      <c r="I30" s="137"/>
      <c r="J30" s="137"/>
    </row>
    <row r="31" spans="1:10" hidden="1" x14ac:dyDescent="0.25">
      <c r="A31" s="137"/>
      <c r="B31" s="137"/>
      <c r="C31" s="137"/>
      <c r="D31" s="137"/>
      <c r="E31" s="137"/>
      <c r="F31" s="137"/>
      <c r="G31" s="137"/>
      <c r="H31" s="137"/>
      <c r="I31" s="137"/>
      <c r="J31" s="137"/>
    </row>
    <row r="32" spans="1:10" hidden="1" x14ac:dyDescent="0.25">
      <c r="A32" s="137"/>
      <c r="B32" s="137"/>
      <c r="C32" s="137"/>
      <c r="D32" s="137"/>
      <c r="E32" s="137"/>
      <c r="F32" s="137"/>
      <c r="G32" s="137"/>
      <c r="H32" s="137"/>
      <c r="I32" s="137"/>
      <c r="J32" s="137"/>
    </row>
    <row r="33" spans="1:10" x14ac:dyDescent="0.25">
      <c r="A33" s="137"/>
      <c r="B33" s="137"/>
      <c r="C33" s="137"/>
      <c r="D33" s="137"/>
      <c r="E33" s="137"/>
      <c r="F33" s="137"/>
      <c r="G33" s="137"/>
      <c r="H33" s="137"/>
      <c r="I33" s="137"/>
      <c r="J33" s="137"/>
    </row>
    <row r="34" spans="1:10" x14ac:dyDescent="0.25">
      <c r="A34" s="137"/>
      <c r="B34" s="137"/>
      <c r="C34" s="137"/>
      <c r="D34" s="137"/>
      <c r="E34" s="137"/>
      <c r="F34" s="137"/>
      <c r="G34" s="137"/>
      <c r="H34" s="137"/>
      <c r="I34" s="137"/>
      <c r="J34" s="137"/>
    </row>
    <row r="35" spans="1:10" x14ac:dyDescent="0.25">
      <c r="A35" s="120" t="s">
        <v>77</v>
      </c>
      <c r="B35" s="120"/>
      <c r="C35" s="120"/>
      <c r="D35" s="120"/>
      <c r="E35" s="120"/>
      <c r="F35" s="120"/>
      <c r="G35" s="120"/>
      <c r="H35" s="120"/>
      <c r="I35" s="120"/>
      <c r="J35" s="120"/>
    </row>
    <row r="36" spans="1:10" x14ac:dyDescent="0.25">
      <c r="A36" s="134" t="s">
        <v>73</v>
      </c>
      <c r="B36" s="134"/>
      <c r="C36" s="134"/>
      <c r="D36" s="134"/>
      <c r="E36" s="134"/>
      <c r="F36" s="134"/>
      <c r="G36" s="134"/>
      <c r="H36" s="134"/>
      <c r="I36" s="134"/>
      <c r="J36" s="134"/>
    </row>
    <row r="37" spans="1:10" x14ac:dyDescent="0.25">
      <c r="A37" s="110"/>
      <c r="B37" s="110"/>
      <c r="C37" s="110"/>
      <c r="D37" s="110"/>
      <c r="E37" s="110"/>
      <c r="F37" s="110"/>
      <c r="G37" s="110"/>
      <c r="H37" s="110"/>
      <c r="I37" s="110"/>
      <c r="J37" s="110"/>
    </row>
    <row r="38" spans="1:10" x14ac:dyDescent="0.25">
      <c r="A38" s="110"/>
      <c r="B38" s="110"/>
      <c r="C38" s="110"/>
      <c r="D38" s="110"/>
      <c r="E38" s="110"/>
      <c r="F38" s="110"/>
      <c r="G38" s="110"/>
      <c r="H38" s="110"/>
      <c r="I38" s="110"/>
      <c r="J38" s="110"/>
    </row>
    <row r="39" spans="1:10" x14ac:dyDescent="0.25">
      <c r="A39" s="110"/>
      <c r="B39" s="110"/>
      <c r="C39" s="110"/>
      <c r="D39" s="110"/>
      <c r="E39" s="110"/>
      <c r="F39" s="110"/>
      <c r="G39" s="110"/>
      <c r="H39" s="110"/>
      <c r="I39" s="110"/>
      <c r="J39" s="110"/>
    </row>
    <row r="40" spans="1:10" x14ac:dyDescent="0.25">
      <c r="A40" s="110"/>
      <c r="B40" s="110"/>
      <c r="C40" s="110"/>
      <c r="D40" s="110"/>
      <c r="E40" s="110"/>
      <c r="F40" s="110"/>
      <c r="G40" s="110"/>
      <c r="H40" s="110"/>
      <c r="I40" s="110"/>
      <c r="J40" s="110"/>
    </row>
    <row r="41" spans="1:10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x14ac:dyDescent="0.25">
      <c r="A42" s="110"/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x14ac:dyDescent="0.25">
      <c r="A43" s="110"/>
      <c r="B43" s="110"/>
      <c r="C43" s="110"/>
      <c r="D43" s="110"/>
      <c r="E43" s="110"/>
      <c r="F43" s="110"/>
      <c r="G43" s="110"/>
      <c r="H43" s="110"/>
      <c r="I43" s="110"/>
      <c r="J43" s="110"/>
    </row>
    <row r="44" spans="1:10" ht="9.75" customHeight="1" x14ac:dyDescent="0.25">
      <c r="A44" s="110"/>
      <c r="B44" s="110"/>
      <c r="C44" s="110"/>
      <c r="D44" s="110"/>
      <c r="E44" s="110"/>
      <c r="F44" s="110"/>
      <c r="G44" s="110"/>
      <c r="H44" s="110"/>
      <c r="I44" s="110"/>
      <c r="J44" s="110"/>
    </row>
    <row r="45" spans="1:10" hidden="1" x14ac:dyDescent="0.25">
      <c r="A45" s="110"/>
      <c r="B45" s="110"/>
      <c r="C45" s="110"/>
      <c r="D45" s="110"/>
      <c r="E45" s="110"/>
      <c r="F45" s="110"/>
      <c r="G45" s="110"/>
      <c r="H45" s="110"/>
      <c r="I45" s="110"/>
      <c r="J45" s="110"/>
    </row>
    <row r="46" spans="1:10" hidden="1" x14ac:dyDescent="0.25">
      <c r="A46" s="110"/>
      <c r="B46" s="110"/>
      <c r="C46" s="110"/>
      <c r="D46" s="110"/>
      <c r="E46" s="110"/>
      <c r="F46" s="110"/>
      <c r="G46" s="110"/>
      <c r="H46" s="110"/>
      <c r="I46" s="110"/>
      <c r="J46" s="110"/>
    </row>
    <row r="47" spans="1:10" ht="1.5" customHeight="1" x14ac:dyDescent="0.25">
      <c r="A47" s="110"/>
      <c r="B47" s="110"/>
      <c r="C47" s="110"/>
      <c r="D47" s="110"/>
      <c r="E47" s="110"/>
      <c r="F47" s="110"/>
      <c r="G47" s="110"/>
      <c r="H47" s="110"/>
      <c r="I47" s="110"/>
      <c r="J47" s="110"/>
    </row>
    <row r="48" spans="1:10" hidden="1" x14ac:dyDescent="0.25">
      <c r="A48" s="110"/>
      <c r="B48" s="110"/>
      <c r="C48" s="110"/>
      <c r="D48" s="110"/>
      <c r="E48" s="110"/>
      <c r="F48" s="110"/>
      <c r="G48" s="110"/>
      <c r="H48" s="110"/>
      <c r="I48" s="110"/>
      <c r="J48" s="110"/>
    </row>
    <row r="49" spans="1:10" hidden="1" x14ac:dyDescent="0.25">
      <c r="A49" s="110"/>
      <c r="B49" s="110"/>
      <c r="C49" s="110"/>
      <c r="D49" s="110"/>
      <c r="E49" s="110"/>
      <c r="F49" s="110"/>
      <c r="G49" s="110"/>
      <c r="H49" s="110"/>
      <c r="I49" s="110"/>
      <c r="J49" s="110"/>
    </row>
    <row r="50" spans="1:10" x14ac:dyDescent="0.25">
      <c r="A50" s="110"/>
      <c r="B50" s="110"/>
      <c r="C50" s="110"/>
      <c r="D50" s="110"/>
      <c r="E50" s="110"/>
      <c r="F50" s="110"/>
      <c r="G50" s="110"/>
      <c r="H50" s="110"/>
      <c r="I50" s="110"/>
      <c r="J50" s="110"/>
    </row>
    <row r="51" spans="1:10" ht="5.25" customHeight="1" x14ac:dyDescent="0.25">
      <c r="A51" s="110"/>
      <c r="B51" s="110"/>
      <c r="C51" s="110"/>
      <c r="D51" s="110"/>
      <c r="E51" s="110"/>
      <c r="F51" s="110"/>
      <c r="G51" s="110"/>
      <c r="H51" s="110"/>
      <c r="I51" s="110"/>
      <c r="J51" s="110"/>
    </row>
    <row r="52" spans="1:10" x14ac:dyDescent="0.25">
      <c r="A52" s="110"/>
      <c r="B52" s="110"/>
      <c r="C52" s="110"/>
      <c r="D52" s="110"/>
      <c r="E52" s="110"/>
      <c r="F52" s="110"/>
      <c r="G52" s="110"/>
      <c r="H52" s="110"/>
      <c r="I52" s="110"/>
      <c r="J52" s="110"/>
    </row>
    <row r="53" spans="1:10" x14ac:dyDescent="0.25">
      <c r="A53" s="110"/>
      <c r="B53" s="110"/>
      <c r="C53" s="110"/>
      <c r="D53" s="110"/>
      <c r="E53" s="110"/>
      <c r="F53" s="110"/>
      <c r="G53" s="110"/>
      <c r="H53" s="110"/>
      <c r="I53" s="110"/>
      <c r="J53" s="110"/>
    </row>
    <row r="54" spans="1:10" x14ac:dyDescent="0.25">
      <c r="A54" s="110"/>
      <c r="B54" s="110"/>
      <c r="C54" s="110"/>
      <c r="D54" s="110"/>
      <c r="E54" s="110"/>
      <c r="F54" s="110"/>
      <c r="G54" s="110"/>
      <c r="H54" s="110"/>
      <c r="I54" s="110"/>
      <c r="J54" s="110"/>
    </row>
    <row r="55" spans="1:10" x14ac:dyDescent="0.25">
      <c r="A55" s="119" t="s">
        <v>76</v>
      </c>
      <c r="B55" s="120"/>
      <c r="C55" s="120"/>
      <c r="D55" s="120"/>
      <c r="E55" s="120"/>
      <c r="F55" s="120"/>
      <c r="G55" s="120"/>
      <c r="H55" s="120"/>
      <c r="I55" s="120"/>
      <c r="J55" s="120"/>
    </row>
    <row r="56" spans="1:10" x14ac:dyDescent="0.25">
      <c r="A56" s="110" t="s">
        <v>72</v>
      </c>
      <c r="B56" s="110"/>
      <c r="C56" s="110"/>
      <c r="D56" s="110"/>
      <c r="E56" s="110"/>
      <c r="F56" s="110"/>
      <c r="G56" s="110"/>
      <c r="H56" s="110"/>
      <c r="I56" s="110"/>
      <c r="J56" s="110"/>
    </row>
    <row r="57" spans="1:10" x14ac:dyDescent="0.25">
      <c r="A57" s="110"/>
      <c r="B57" s="110"/>
      <c r="C57" s="110"/>
      <c r="D57" s="110"/>
      <c r="E57" s="110"/>
      <c r="F57" s="110"/>
      <c r="G57" s="110"/>
      <c r="H57" s="110"/>
      <c r="I57" s="110"/>
      <c r="J57" s="110"/>
    </row>
    <row r="58" spans="1:10" ht="12" customHeight="1" x14ac:dyDescent="0.25">
      <c r="A58" s="110"/>
      <c r="B58" s="110"/>
      <c r="C58" s="110"/>
      <c r="D58" s="110"/>
      <c r="E58" s="110"/>
      <c r="F58" s="110"/>
      <c r="G58" s="110"/>
      <c r="H58" s="110"/>
      <c r="I58" s="110"/>
      <c r="J58" s="110"/>
    </row>
    <row r="59" spans="1:10" hidden="1" x14ac:dyDescent="0.25">
      <c r="A59" s="110"/>
      <c r="B59" s="110"/>
      <c r="C59" s="110"/>
      <c r="D59" s="110"/>
      <c r="E59" s="110"/>
      <c r="F59" s="110"/>
      <c r="G59" s="110"/>
      <c r="H59" s="110"/>
      <c r="I59" s="110"/>
      <c r="J59" s="110"/>
    </row>
    <row r="60" spans="1:10" x14ac:dyDescent="0.25">
      <c r="A60" s="110"/>
      <c r="B60" s="110"/>
      <c r="C60" s="110"/>
      <c r="D60" s="110"/>
      <c r="E60" s="110"/>
      <c r="F60" s="110"/>
      <c r="G60" s="110"/>
      <c r="H60" s="110"/>
      <c r="I60" s="110"/>
      <c r="J60" s="110"/>
    </row>
    <row r="61" spans="1:10" x14ac:dyDescent="0.25">
      <c r="A61" s="121" t="s">
        <v>45</v>
      </c>
      <c r="B61" s="121"/>
      <c r="C61" s="121"/>
      <c r="D61" s="121"/>
      <c r="E61" s="121"/>
      <c r="F61" s="121"/>
      <c r="G61" s="121"/>
      <c r="H61" s="121"/>
      <c r="I61" s="121"/>
      <c r="J61" s="121"/>
    </row>
    <row r="62" spans="1:10" x14ac:dyDescent="0.25">
      <c r="A62" s="127" t="s">
        <v>71</v>
      </c>
      <c r="B62" s="127"/>
      <c r="C62" s="127"/>
      <c r="D62" s="127"/>
      <c r="E62" s="127"/>
      <c r="F62" s="127"/>
      <c r="G62" s="127"/>
      <c r="H62" s="127"/>
      <c r="I62" s="127"/>
      <c r="J62" s="127"/>
    </row>
    <row r="63" spans="1:10" x14ac:dyDescent="0.25">
      <c r="A63" s="112">
        <f>SUM(Ficha!C18,Ficha!C19,Ficha!C20,Ficha!C22)</f>
        <v>0</v>
      </c>
      <c r="B63" s="112"/>
      <c r="C63" s="112"/>
      <c r="D63" s="113" t="str">
        <f>EXTENSO_VALOR(A63)</f>
        <v/>
      </c>
      <c r="E63" s="113"/>
      <c r="F63" s="113"/>
      <c r="G63" s="113"/>
      <c r="H63" s="113"/>
      <c r="I63" s="113"/>
      <c r="J63" s="113"/>
    </row>
    <row r="64" spans="1:10" x14ac:dyDescent="0.25">
      <c r="A64" s="114" t="s">
        <v>46</v>
      </c>
      <c r="B64" s="114"/>
      <c r="C64" s="114"/>
      <c r="D64" s="114"/>
      <c r="E64" s="114"/>
      <c r="F64" s="114"/>
      <c r="G64" s="114"/>
      <c r="H64" s="114"/>
      <c r="I64" s="114"/>
      <c r="J64" s="114"/>
    </row>
    <row r="65" spans="1:10" x14ac:dyDescent="0.25">
      <c r="A65" s="115"/>
      <c r="B65" s="115"/>
      <c r="C65" s="115"/>
      <c r="D65" s="115"/>
      <c r="E65" s="115"/>
      <c r="F65" s="115"/>
      <c r="G65" s="115"/>
      <c r="H65" s="115"/>
      <c r="I65" s="115"/>
      <c r="J65" s="115"/>
    </row>
    <row r="66" spans="1:10" hidden="1" x14ac:dyDescent="0.25">
      <c r="A66" s="115"/>
      <c r="B66" s="115"/>
      <c r="C66" s="115"/>
      <c r="D66" s="115"/>
      <c r="E66" s="115"/>
      <c r="F66" s="115"/>
      <c r="G66" s="115"/>
      <c r="H66" s="115"/>
      <c r="I66" s="115"/>
      <c r="J66" s="115"/>
    </row>
    <row r="67" spans="1:10" x14ac:dyDescent="0.25">
      <c r="A67" s="121" t="s">
        <v>47</v>
      </c>
      <c r="B67" s="121"/>
      <c r="C67" s="121"/>
      <c r="D67" s="121"/>
      <c r="E67" s="121"/>
      <c r="F67" s="121"/>
      <c r="G67" s="121"/>
      <c r="H67" s="121"/>
      <c r="I67" s="121"/>
      <c r="J67" s="121"/>
    </row>
    <row r="68" spans="1:10" ht="15" customHeight="1" x14ac:dyDescent="0.25">
      <c r="A68" s="129" t="s">
        <v>83</v>
      </c>
      <c r="B68" s="129"/>
      <c r="C68" s="129"/>
      <c r="D68" s="129"/>
      <c r="E68" s="129"/>
      <c r="F68" s="129"/>
      <c r="G68" s="129"/>
      <c r="H68" s="129"/>
      <c r="I68" s="129"/>
      <c r="J68" s="129"/>
    </row>
    <row r="69" spans="1:10" x14ac:dyDescent="0.25">
      <c r="A69" s="22"/>
      <c r="B69" s="22"/>
      <c r="C69" s="22"/>
      <c r="D69" s="22"/>
      <c r="E69" s="22"/>
      <c r="F69" s="22"/>
      <c r="G69" s="22"/>
      <c r="H69" s="22"/>
      <c r="I69" s="22"/>
      <c r="J69" s="22"/>
    </row>
    <row r="70" spans="1:10" ht="14.25" customHeight="1" x14ac:dyDescent="0.25">
      <c r="A70" s="22"/>
      <c r="B70" s="22"/>
      <c r="C70" s="22"/>
      <c r="D70" s="22"/>
      <c r="E70" s="22"/>
      <c r="F70" s="22"/>
      <c r="G70" s="22"/>
      <c r="H70" s="22"/>
      <c r="I70" s="22"/>
      <c r="J70" s="22"/>
    </row>
    <row r="71" spans="1:10" ht="35.25" customHeight="1" x14ac:dyDescent="0.25">
      <c r="A71" s="130" t="s">
        <v>84</v>
      </c>
      <c r="B71" s="130"/>
      <c r="C71" s="130"/>
      <c r="D71" s="130"/>
      <c r="E71" s="130"/>
      <c r="F71" s="130"/>
      <c r="G71" s="130"/>
      <c r="H71" s="130"/>
      <c r="I71" s="130"/>
      <c r="J71" s="130"/>
    </row>
    <row r="72" spans="1:10" ht="0.75" customHeight="1" x14ac:dyDescent="0.25">
      <c r="A72" s="130"/>
      <c r="B72" s="130"/>
      <c r="C72" s="130"/>
      <c r="D72" s="130"/>
      <c r="E72" s="130"/>
      <c r="F72" s="130"/>
      <c r="G72" s="130"/>
      <c r="H72" s="130"/>
      <c r="I72" s="130"/>
      <c r="J72" s="130"/>
    </row>
    <row r="73" spans="1:10" ht="4.5" customHeight="1" x14ac:dyDescent="0.25">
      <c r="A73" s="130"/>
      <c r="B73" s="130"/>
      <c r="C73" s="130"/>
      <c r="D73" s="130"/>
      <c r="E73" s="130"/>
      <c r="F73" s="130"/>
      <c r="G73" s="130"/>
      <c r="H73" s="130"/>
      <c r="I73" s="130"/>
      <c r="J73" s="130"/>
    </row>
    <row r="74" spans="1:10" ht="0.75" customHeight="1" x14ac:dyDescent="0.25">
      <c r="A74" s="130"/>
      <c r="B74" s="130"/>
      <c r="C74" s="130"/>
      <c r="D74" s="130"/>
      <c r="E74" s="130"/>
      <c r="F74" s="130"/>
      <c r="G74" s="130"/>
      <c r="H74" s="130"/>
      <c r="I74" s="130"/>
      <c r="J74" s="130"/>
    </row>
    <row r="75" spans="1:10" ht="3" customHeight="1" x14ac:dyDescent="0.25">
      <c r="A75" s="23"/>
      <c r="B75" s="23"/>
      <c r="C75" s="23"/>
      <c r="D75" s="23"/>
      <c r="E75" s="23"/>
      <c r="F75" s="23"/>
      <c r="G75" s="23"/>
      <c r="H75" s="23"/>
      <c r="I75" s="23"/>
      <c r="J75" s="23"/>
    </row>
    <row r="76" spans="1:10" x14ac:dyDescent="0.25">
      <c r="A76" s="110" t="s">
        <v>70</v>
      </c>
      <c r="B76" s="110"/>
      <c r="C76" s="110"/>
      <c r="D76" s="110"/>
      <c r="E76" s="110"/>
      <c r="F76" s="110"/>
      <c r="G76" s="110"/>
      <c r="H76" s="110"/>
      <c r="I76" s="110"/>
      <c r="J76" s="110"/>
    </row>
    <row r="77" spans="1:10" x14ac:dyDescent="0.25">
      <c r="A77" s="110"/>
      <c r="B77" s="110"/>
      <c r="C77" s="110"/>
      <c r="D77" s="110"/>
      <c r="E77" s="110"/>
      <c r="F77" s="110"/>
      <c r="G77" s="110"/>
      <c r="H77" s="110"/>
      <c r="I77" s="110"/>
      <c r="J77" s="110"/>
    </row>
    <row r="78" spans="1:10" x14ac:dyDescent="0.25">
      <c r="A78" s="110"/>
      <c r="B78" s="110"/>
      <c r="C78" s="110"/>
      <c r="D78" s="110"/>
      <c r="E78" s="110"/>
      <c r="F78" s="110"/>
      <c r="G78" s="110"/>
      <c r="H78" s="110"/>
      <c r="I78" s="110"/>
      <c r="J78" s="110"/>
    </row>
    <row r="79" spans="1:10" x14ac:dyDescent="0.25">
      <c r="A79" s="110"/>
      <c r="B79" s="110"/>
      <c r="C79" s="110"/>
      <c r="D79" s="110"/>
      <c r="E79" s="110"/>
      <c r="F79" s="110"/>
      <c r="G79" s="110"/>
      <c r="H79" s="110"/>
      <c r="I79" s="110"/>
      <c r="J79" s="110"/>
    </row>
    <row r="80" spans="1:10" x14ac:dyDescent="0.25">
      <c r="A80" s="110"/>
      <c r="B80" s="110"/>
      <c r="C80" s="110"/>
      <c r="D80" s="110"/>
      <c r="E80" s="110"/>
      <c r="F80" s="110"/>
      <c r="G80" s="110"/>
      <c r="H80" s="110"/>
      <c r="I80" s="110"/>
      <c r="J80" s="110"/>
    </row>
    <row r="81" spans="1:10" x14ac:dyDescent="0.25">
      <c r="A81" s="110"/>
      <c r="B81" s="110"/>
      <c r="C81" s="110"/>
      <c r="D81" s="110"/>
      <c r="E81" s="110"/>
      <c r="F81" s="110"/>
      <c r="G81" s="110"/>
      <c r="H81" s="110"/>
      <c r="I81" s="110"/>
      <c r="J81" s="110"/>
    </row>
    <row r="82" spans="1:10" x14ac:dyDescent="0.25">
      <c r="A82" s="121" t="s">
        <v>48</v>
      </c>
      <c r="B82" s="121"/>
      <c r="C82" s="121"/>
      <c r="D82" s="121"/>
      <c r="E82" s="121"/>
      <c r="F82" s="121"/>
      <c r="G82" s="121"/>
      <c r="H82" s="121"/>
      <c r="I82" s="121"/>
      <c r="J82" s="121"/>
    </row>
    <row r="83" spans="1:10" x14ac:dyDescent="0.25">
      <c r="A83" s="134" t="s">
        <v>69</v>
      </c>
      <c r="B83" s="134"/>
      <c r="C83" s="134"/>
      <c r="D83" s="134"/>
      <c r="E83" s="134"/>
      <c r="F83" s="134"/>
      <c r="G83" s="134"/>
      <c r="H83" s="134"/>
      <c r="I83" s="134"/>
      <c r="J83" s="134"/>
    </row>
    <row r="84" spans="1:10" x14ac:dyDescent="0.25">
      <c r="A84" s="110"/>
      <c r="B84" s="110"/>
      <c r="C84" s="110"/>
      <c r="D84" s="110"/>
      <c r="E84" s="110"/>
      <c r="F84" s="110"/>
      <c r="G84" s="110"/>
      <c r="H84" s="110"/>
      <c r="I84" s="110"/>
      <c r="J84" s="110"/>
    </row>
    <row r="85" spans="1:10" ht="12.75" customHeight="1" x14ac:dyDescent="0.25">
      <c r="A85" s="110"/>
      <c r="B85" s="110"/>
      <c r="C85" s="110"/>
      <c r="D85" s="110"/>
      <c r="E85" s="110"/>
      <c r="F85" s="110"/>
      <c r="G85" s="110"/>
      <c r="H85" s="110"/>
      <c r="I85" s="110"/>
      <c r="J85" s="110"/>
    </row>
    <row r="86" spans="1:10" x14ac:dyDescent="0.25">
      <c r="A86" s="110"/>
      <c r="B86" s="110"/>
      <c r="C86" s="110"/>
      <c r="D86" s="110"/>
      <c r="E86" s="110"/>
      <c r="F86" s="110"/>
      <c r="G86" s="110"/>
      <c r="H86" s="110"/>
      <c r="I86" s="110"/>
      <c r="J86" s="110"/>
    </row>
    <row r="87" spans="1:10" x14ac:dyDescent="0.25">
      <c r="A87" s="110"/>
      <c r="B87" s="110"/>
      <c r="C87" s="110"/>
      <c r="D87" s="110"/>
      <c r="E87" s="110"/>
      <c r="F87" s="110"/>
      <c r="G87" s="110"/>
      <c r="H87" s="110"/>
      <c r="I87" s="110"/>
      <c r="J87" s="110"/>
    </row>
    <row r="88" spans="1:10" x14ac:dyDescent="0.25">
      <c r="A88" s="110"/>
      <c r="B88" s="110"/>
      <c r="C88" s="110"/>
      <c r="D88" s="110"/>
      <c r="E88" s="110"/>
      <c r="F88" s="110"/>
      <c r="G88" s="110"/>
      <c r="H88" s="110"/>
      <c r="I88" s="110"/>
      <c r="J88" s="110"/>
    </row>
    <row r="89" spans="1:10" ht="16.5" customHeight="1" x14ac:dyDescent="0.25">
      <c r="A89" s="110"/>
      <c r="B89" s="110"/>
      <c r="C89" s="110"/>
      <c r="D89" s="110"/>
      <c r="E89" s="110"/>
      <c r="F89" s="110"/>
      <c r="G89" s="110"/>
      <c r="H89" s="110"/>
      <c r="I89" s="110"/>
      <c r="J89" s="110"/>
    </row>
    <row r="90" spans="1:10" x14ac:dyDescent="0.25">
      <c r="A90" s="121" t="s">
        <v>49</v>
      </c>
      <c r="B90" s="121"/>
      <c r="C90" s="121"/>
      <c r="D90" s="121"/>
      <c r="E90" s="121"/>
      <c r="F90" s="121"/>
      <c r="G90" s="121"/>
      <c r="H90" s="121"/>
      <c r="I90" s="121"/>
      <c r="J90" s="121"/>
    </row>
    <row r="91" spans="1:10" ht="11.25" customHeight="1" x14ac:dyDescent="0.25">
      <c r="A91" s="134" t="s">
        <v>68</v>
      </c>
      <c r="B91" s="134"/>
      <c r="C91" s="134"/>
      <c r="D91" s="134"/>
      <c r="E91" s="134"/>
      <c r="F91" s="134"/>
      <c r="G91" s="134"/>
      <c r="H91" s="134"/>
      <c r="I91" s="134"/>
      <c r="J91" s="134"/>
    </row>
    <row r="92" spans="1:10" ht="5.25" customHeight="1" x14ac:dyDescent="0.25">
      <c r="A92" s="110"/>
      <c r="B92" s="110"/>
      <c r="C92" s="110"/>
      <c r="D92" s="110"/>
      <c r="E92" s="110"/>
      <c r="F92" s="110"/>
      <c r="G92" s="110"/>
      <c r="H92" s="110"/>
      <c r="I92" s="110"/>
      <c r="J92" s="110"/>
    </row>
    <row r="93" spans="1:10" ht="12.75" customHeight="1" x14ac:dyDescent="0.25">
      <c r="A93" s="110"/>
      <c r="B93" s="110"/>
      <c r="C93" s="110"/>
      <c r="D93" s="110"/>
      <c r="E93" s="110"/>
      <c r="F93" s="110"/>
      <c r="G93" s="110"/>
      <c r="H93" s="110"/>
      <c r="I93" s="110"/>
      <c r="J93" s="110"/>
    </row>
    <row r="94" spans="1:10" x14ac:dyDescent="0.25">
      <c r="A94" s="121" t="s">
        <v>50</v>
      </c>
      <c r="B94" s="122"/>
      <c r="C94" s="122"/>
      <c r="D94" s="122"/>
      <c r="E94" s="122"/>
      <c r="F94" s="122"/>
      <c r="G94" s="122"/>
      <c r="H94" s="122"/>
      <c r="I94" s="122"/>
      <c r="J94" s="122"/>
    </row>
    <row r="95" spans="1:10" ht="23.25" customHeight="1" x14ac:dyDescent="0.25">
      <c r="A95" s="134" t="s">
        <v>67</v>
      </c>
      <c r="B95" s="134"/>
      <c r="C95" s="134"/>
      <c r="D95" s="134"/>
      <c r="E95" s="134"/>
      <c r="F95" s="134"/>
      <c r="G95" s="134"/>
      <c r="H95" s="134"/>
      <c r="I95" s="134"/>
      <c r="J95" s="134"/>
    </row>
    <row r="96" spans="1:10" ht="24" customHeight="1" x14ac:dyDescent="0.25">
      <c r="A96" s="130"/>
      <c r="B96" s="130"/>
      <c r="C96" s="130"/>
      <c r="D96" s="130"/>
      <c r="E96" s="130"/>
      <c r="F96" s="130"/>
      <c r="G96" s="130"/>
      <c r="H96" s="130"/>
      <c r="I96" s="130"/>
      <c r="J96" s="130"/>
    </row>
    <row r="97" spans="1:14" ht="9.75" customHeight="1" x14ac:dyDescent="0.25">
      <c r="A97" s="10"/>
      <c r="B97" s="10"/>
      <c r="C97" s="10"/>
      <c r="D97" s="10"/>
      <c r="E97" s="10"/>
      <c r="F97" s="10"/>
      <c r="G97" s="10"/>
      <c r="H97" s="10"/>
      <c r="I97" s="10"/>
      <c r="J97" s="10"/>
    </row>
    <row r="98" spans="1:14" x14ac:dyDescent="0.25">
      <c r="A98" s="121" t="s">
        <v>51</v>
      </c>
      <c r="B98" s="122"/>
      <c r="C98" s="122"/>
      <c r="D98" s="122"/>
      <c r="E98" s="122"/>
      <c r="F98" s="122"/>
      <c r="G98" s="122"/>
      <c r="H98" s="122"/>
      <c r="I98" s="122"/>
      <c r="J98" s="122"/>
    </row>
    <row r="99" spans="1:14" x14ac:dyDescent="0.25">
      <c r="A99" s="134" t="s">
        <v>75</v>
      </c>
      <c r="B99" s="114"/>
      <c r="C99" s="114"/>
      <c r="D99" s="114"/>
      <c r="E99" s="114"/>
      <c r="F99" s="114"/>
      <c r="G99" s="114"/>
      <c r="H99" s="114"/>
      <c r="I99" s="114"/>
      <c r="J99" s="114"/>
    </row>
    <row r="100" spans="1:14" x14ac:dyDescent="0.25">
      <c r="A100" s="135"/>
      <c r="B100" s="135"/>
      <c r="C100" s="135"/>
      <c r="D100" s="135"/>
      <c r="E100" s="135"/>
      <c r="F100" s="135"/>
      <c r="G100" s="135"/>
      <c r="H100" s="135"/>
      <c r="I100" s="135"/>
      <c r="J100" s="135"/>
      <c r="N100" s="24"/>
    </row>
    <row r="101" spans="1:14" x14ac:dyDescent="0.25">
      <c r="A101" s="135"/>
      <c r="B101" s="135"/>
      <c r="C101" s="135"/>
      <c r="D101" s="135"/>
      <c r="E101" s="135"/>
      <c r="F101" s="135"/>
      <c r="G101" s="135"/>
      <c r="H101" s="135"/>
      <c r="I101" s="135"/>
      <c r="J101" s="135"/>
    </row>
    <row r="103" spans="1:14" x14ac:dyDescent="0.25">
      <c r="A103" s="11"/>
      <c r="B103" s="11"/>
      <c r="C103" s="11"/>
      <c r="D103" s="11"/>
      <c r="E103" s="12"/>
      <c r="G103" s="11"/>
      <c r="H103" s="11"/>
      <c r="I103" s="11"/>
      <c r="J103" s="11"/>
    </row>
    <row r="104" spans="1:14" ht="15" customHeight="1" x14ac:dyDescent="0.25">
      <c r="A104" s="105" t="s">
        <v>37</v>
      </c>
      <c r="B104" s="105"/>
      <c r="C104" s="105"/>
      <c r="D104" s="105"/>
      <c r="E104" s="14"/>
      <c r="G104" s="105" t="s">
        <v>52</v>
      </c>
      <c r="H104" s="105"/>
      <c r="I104" s="105"/>
      <c r="J104" s="105"/>
      <c r="M104" s="6"/>
    </row>
    <row r="105" spans="1:14" ht="15" customHeight="1" x14ac:dyDescent="0.25">
      <c r="A105" s="131">
        <f>C6</f>
        <v>0</v>
      </c>
      <c r="B105" s="131"/>
      <c r="C105" s="131"/>
      <c r="D105" s="131"/>
      <c r="E105" s="131"/>
      <c r="G105" s="133" t="s">
        <v>80</v>
      </c>
      <c r="H105" s="133"/>
      <c r="I105" s="133"/>
      <c r="J105" s="133"/>
    </row>
    <row r="106" spans="1:14" x14ac:dyDescent="0.25">
      <c r="A106" s="15" t="s">
        <v>4</v>
      </c>
      <c r="B106" s="132">
        <f>C8</f>
        <v>0</v>
      </c>
      <c r="C106" s="132"/>
      <c r="D106" s="132"/>
      <c r="E106" s="17"/>
      <c r="G106" s="133"/>
      <c r="H106" s="133"/>
      <c r="I106" s="133"/>
      <c r="J106" s="133"/>
    </row>
    <row r="107" spans="1:14" x14ac:dyDescent="0.25">
      <c r="G107" s="128" t="s">
        <v>81</v>
      </c>
      <c r="H107" s="128"/>
      <c r="I107" s="128"/>
      <c r="J107" s="128"/>
    </row>
    <row r="109" spans="1:14" x14ac:dyDescent="0.25">
      <c r="A109" s="11"/>
      <c r="B109" s="11"/>
      <c r="C109" s="11"/>
      <c r="D109" s="11"/>
      <c r="G109" s="11"/>
      <c r="H109" s="11"/>
      <c r="I109" s="11"/>
      <c r="J109" s="11"/>
    </row>
    <row r="110" spans="1:14" x14ac:dyDescent="0.25">
      <c r="A110" s="127" t="s">
        <v>53</v>
      </c>
      <c r="B110" s="127"/>
      <c r="C110" s="127"/>
      <c r="D110" s="127"/>
      <c r="G110" s="127" t="s">
        <v>53</v>
      </c>
      <c r="H110" s="127"/>
      <c r="I110" s="127"/>
      <c r="J110" s="127"/>
    </row>
    <row r="111" spans="1:14" x14ac:dyDescent="0.25">
      <c r="A111" s="21" t="s">
        <v>54</v>
      </c>
      <c r="B111" s="21"/>
      <c r="C111" s="21"/>
      <c r="D111" s="21"/>
      <c r="G111" s="21" t="s">
        <v>54</v>
      </c>
      <c r="H111" s="21"/>
      <c r="I111" s="21"/>
      <c r="J111" s="21"/>
    </row>
    <row r="114" spans="1:10" x14ac:dyDescent="0.25">
      <c r="A114" s="124" t="s">
        <v>64</v>
      </c>
      <c r="B114" s="124"/>
      <c r="C114" s="124"/>
      <c r="D114" s="124"/>
      <c r="E114" s="124"/>
      <c r="F114" s="125">
        <f ca="1">TODAY()</f>
        <v>44390</v>
      </c>
      <c r="G114" s="126"/>
      <c r="H114" s="126"/>
      <c r="I114" s="126"/>
      <c r="J114" s="126"/>
    </row>
    <row r="115" spans="1:10" x14ac:dyDescent="0.25">
      <c r="A115" s="16"/>
      <c r="B115" s="16"/>
      <c r="C115" s="16"/>
      <c r="D115" s="16"/>
      <c r="E115" s="16"/>
      <c r="F115" s="16"/>
      <c r="G115" s="16"/>
      <c r="H115" s="16"/>
      <c r="I115" s="16"/>
      <c r="J115" s="16"/>
    </row>
  </sheetData>
  <mergeCells count="46">
    <mergeCell ref="A95:J96"/>
    <mergeCell ref="A24:J24"/>
    <mergeCell ref="A83:J89"/>
    <mergeCell ref="A91:J93"/>
    <mergeCell ref="A82:J82"/>
    <mergeCell ref="A76:J81"/>
    <mergeCell ref="A36:J54"/>
    <mergeCell ref="A35:J35"/>
    <mergeCell ref="A25:J34"/>
    <mergeCell ref="A9:J9"/>
    <mergeCell ref="A114:E114"/>
    <mergeCell ref="F114:J114"/>
    <mergeCell ref="A67:J67"/>
    <mergeCell ref="A61:J61"/>
    <mergeCell ref="A62:J62"/>
    <mergeCell ref="A110:D110"/>
    <mergeCell ref="G110:J110"/>
    <mergeCell ref="G107:J107"/>
    <mergeCell ref="A98:J98"/>
    <mergeCell ref="A68:J68"/>
    <mergeCell ref="A71:J74"/>
    <mergeCell ref="A105:E105"/>
    <mergeCell ref="B106:D106"/>
    <mergeCell ref="G105:J106"/>
    <mergeCell ref="A99:J101"/>
    <mergeCell ref="A6:B6"/>
    <mergeCell ref="C6:J6"/>
    <mergeCell ref="A7:D7"/>
    <mergeCell ref="G7:J7"/>
    <mergeCell ref="C8:D8"/>
    <mergeCell ref="G104:J104"/>
    <mergeCell ref="B10:D10"/>
    <mergeCell ref="F10:J10"/>
    <mergeCell ref="A11:J23"/>
    <mergeCell ref="A1:J4"/>
    <mergeCell ref="A104:D104"/>
    <mergeCell ref="A63:C63"/>
    <mergeCell ref="D63:J63"/>
    <mergeCell ref="A64:J66"/>
    <mergeCell ref="F8:G8"/>
    <mergeCell ref="H8:J8"/>
    <mergeCell ref="A5:J5"/>
    <mergeCell ref="A56:J60"/>
    <mergeCell ref="A55:J55"/>
    <mergeCell ref="A90:J90"/>
    <mergeCell ref="A94:J94"/>
  </mergeCells>
  <pageMargins left="0.51181102362204722" right="0.51181102362204722" top="0.78740157480314965" bottom="0.78740157480314965" header="0.31496062992125984" footer="0.31496062992125984"/>
  <pageSetup paperSize="9" orientation="portrait" useFirstPageNumber="1" r:id="rId1"/>
  <headerFooter>
    <oddHeader>&amp;C&amp;G</oddHead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J14"/>
  <sheetViews>
    <sheetView workbookViewId="0">
      <selection activeCell="B8" sqref="B8:J8"/>
    </sheetView>
  </sheetViews>
  <sheetFormatPr defaultRowHeight="15" x14ac:dyDescent="0.25"/>
  <cols>
    <col min="1" max="1" width="8.140625" customWidth="1"/>
    <col min="6" max="6" width="10.7109375" customWidth="1"/>
  </cols>
  <sheetData>
    <row r="1" spans="1:10" ht="15.75" thickBot="1" x14ac:dyDescent="0.3"/>
    <row r="2" spans="1:10" x14ac:dyDescent="0.25">
      <c r="A2" s="138" t="s">
        <v>66</v>
      </c>
      <c r="B2" s="152" t="s">
        <v>55</v>
      </c>
      <c r="C2" s="153"/>
      <c r="D2" s="153"/>
      <c r="E2" s="7"/>
      <c r="F2" s="153" t="s">
        <v>56</v>
      </c>
      <c r="G2" s="153"/>
      <c r="H2" s="154"/>
      <c r="I2" s="154"/>
      <c r="J2" s="155"/>
    </row>
    <row r="3" spans="1:10" x14ac:dyDescent="0.25">
      <c r="A3" s="139"/>
      <c r="B3" s="150"/>
      <c r="C3" s="150"/>
      <c r="D3" s="150"/>
      <c r="E3" s="8"/>
      <c r="F3" s="150" t="s">
        <v>57</v>
      </c>
      <c r="G3" s="150"/>
      <c r="H3" s="167">
        <f>Contrato!A63</f>
        <v>0</v>
      </c>
      <c r="I3" s="168"/>
      <c r="J3" s="169"/>
    </row>
    <row r="4" spans="1:10" x14ac:dyDescent="0.25">
      <c r="A4" s="139"/>
      <c r="B4" s="8" t="s">
        <v>58</v>
      </c>
      <c r="C4" s="170">
        <f ca="1">TODAY()</f>
        <v>44390</v>
      </c>
      <c r="D4" s="171"/>
      <c r="E4" s="171"/>
      <c r="F4" s="171"/>
      <c r="G4" s="171"/>
      <c r="H4" s="172" t="s">
        <v>59</v>
      </c>
      <c r="I4" s="172"/>
      <c r="J4" s="173"/>
    </row>
    <row r="5" spans="1:10" x14ac:dyDescent="0.25">
      <c r="A5" s="139"/>
      <c r="B5" s="142" t="s">
        <v>63</v>
      </c>
      <c r="C5" s="142"/>
      <c r="D5" s="143" t="str">
        <f>Contrato!G105</f>
        <v>FÊNIX CONSULTORIA, ASSESSORIA E INTERMEDIÇÃO DE SERVIÇOS</v>
      </c>
      <c r="E5" s="143"/>
      <c r="F5" s="143"/>
      <c r="G5" s="143"/>
      <c r="H5" s="143"/>
      <c r="I5" s="143"/>
      <c r="J5" s="144"/>
    </row>
    <row r="6" spans="1:10" x14ac:dyDescent="0.25">
      <c r="A6" s="139"/>
      <c r="B6" s="147" t="str">
        <f>Contrato!G107</f>
        <v>CNPJ N: 32.301.942/0001-04</v>
      </c>
      <c r="C6" s="148"/>
      <c r="D6" s="148"/>
      <c r="E6" s="148"/>
      <c r="F6" s="148"/>
      <c r="G6" s="8"/>
      <c r="H6" s="8"/>
      <c r="I6" s="8"/>
      <c r="J6" s="9"/>
    </row>
    <row r="7" spans="1:10" ht="16.5" x14ac:dyDescent="0.3">
      <c r="A7" s="139"/>
      <c r="B7" s="145" t="s">
        <v>60</v>
      </c>
      <c r="C7" s="146"/>
      <c r="D7" s="146"/>
      <c r="E7" s="149" t="str">
        <f>Contrato!D63</f>
        <v/>
      </c>
      <c r="F7" s="150"/>
      <c r="G7" s="150"/>
      <c r="H7" s="150"/>
      <c r="I7" s="150"/>
      <c r="J7" s="151"/>
    </row>
    <row r="8" spans="1:10" ht="17.25" thickBot="1" x14ac:dyDescent="0.35">
      <c r="A8" s="139"/>
      <c r="B8" s="180" t="s">
        <v>82</v>
      </c>
      <c r="C8" s="181"/>
      <c r="D8" s="181"/>
      <c r="E8" s="181"/>
      <c r="F8" s="181"/>
      <c r="G8" s="181"/>
      <c r="H8" s="181"/>
      <c r="I8" s="181"/>
      <c r="J8" s="182"/>
    </row>
    <row r="9" spans="1:10" ht="16.5" x14ac:dyDescent="0.3">
      <c r="A9" s="140"/>
      <c r="B9" s="36" t="s">
        <v>61</v>
      </c>
      <c r="C9" s="174">
        <f>Ficha!B2</f>
        <v>0</v>
      </c>
      <c r="D9" s="175"/>
      <c r="E9" s="175"/>
      <c r="F9" s="175"/>
      <c r="G9" s="175"/>
      <c r="H9" s="175"/>
      <c r="I9" s="175"/>
      <c r="J9" s="176"/>
    </row>
    <row r="10" spans="1:10" ht="16.5" x14ac:dyDescent="0.3">
      <c r="A10" s="140"/>
      <c r="B10" s="37" t="s">
        <v>4</v>
      </c>
      <c r="C10" s="177">
        <f>Ficha!B3</f>
        <v>0</v>
      </c>
      <c r="D10" s="178"/>
      <c r="E10" s="178"/>
      <c r="F10" s="178"/>
      <c r="G10" s="178"/>
      <c r="H10" s="178"/>
      <c r="I10" s="178"/>
      <c r="J10" s="179"/>
    </row>
    <row r="11" spans="1:10" ht="15" customHeight="1" thickBot="1" x14ac:dyDescent="0.3">
      <c r="A11" s="140"/>
      <c r="B11" s="38" t="s">
        <v>62</v>
      </c>
      <c r="C11" s="156">
        <f>Contrato!A9</f>
        <v>0</v>
      </c>
      <c r="D11" s="157"/>
      <c r="E11" s="157"/>
      <c r="F11" s="157"/>
      <c r="G11" s="157"/>
      <c r="H11" s="157"/>
      <c r="I11" s="157"/>
      <c r="J11" s="158"/>
    </row>
    <row r="12" spans="1:10" ht="15" customHeight="1" x14ac:dyDescent="0.25">
      <c r="A12" s="139"/>
      <c r="B12" s="159"/>
      <c r="C12" s="160"/>
      <c r="D12" s="160"/>
      <c r="E12" s="160"/>
      <c r="F12" s="160"/>
      <c r="G12" s="160"/>
      <c r="H12" s="160"/>
      <c r="I12" s="160"/>
      <c r="J12" s="161"/>
    </row>
    <row r="13" spans="1:10" ht="15" customHeight="1" x14ac:dyDescent="0.25">
      <c r="A13" s="139"/>
      <c r="B13" s="159" t="s">
        <v>65</v>
      </c>
      <c r="C13" s="160"/>
      <c r="D13" s="160"/>
      <c r="E13" s="160"/>
      <c r="F13" s="160"/>
      <c r="G13" s="160"/>
      <c r="H13" s="160"/>
      <c r="I13" s="160"/>
      <c r="J13" s="161"/>
    </row>
    <row r="14" spans="1:10" ht="15.75" customHeight="1" thickBot="1" x14ac:dyDescent="0.3">
      <c r="A14" s="141"/>
      <c r="B14" s="162" t="s">
        <v>64</v>
      </c>
      <c r="C14" s="163"/>
      <c r="D14" s="163"/>
      <c r="E14" s="163"/>
      <c r="F14" s="164">
        <f ca="1">TODAY()</f>
        <v>44390</v>
      </c>
      <c r="G14" s="165"/>
      <c r="H14" s="165"/>
      <c r="I14" s="165"/>
      <c r="J14" s="166"/>
    </row>
  </sheetData>
  <mergeCells count="21">
    <mergeCell ref="C4:G4"/>
    <mergeCell ref="H4:J4"/>
    <mergeCell ref="C9:J9"/>
    <mergeCell ref="C10:J10"/>
    <mergeCell ref="B8:J8"/>
    <mergeCell ref="A2:A14"/>
    <mergeCell ref="B5:C5"/>
    <mergeCell ref="D5:J5"/>
    <mergeCell ref="B7:D7"/>
    <mergeCell ref="B6:F6"/>
    <mergeCell ref="E7:J7"/>
    <mergeCell ref="B2:D3"/>
    <mergeCell ref="F2:G2"/>
    <mergeCell ref="H2:J2"/>
    <mergeCell ref="F3:G3"/>
    <mergeCell ref="C11:J11"/>
    <mergeCell ref="B13:J13"/>
    <mergeCell ref="B12:J12"/>
    <mergeCell ref="B14:E14"/>
    <mergeCell ref="F14:J14"/>
    <mergeCell ref="H3:J3"/>
  </mergeCells>
  <pageMargins left="0.51181102362204722" right="0.51181102362204722" top="0.78740157480314965" bottom="0.78740157480314965" header="0.31496062992125984" footer="0.31496062992125984"/>
  <pageSetup paperSize="9" orientation="portrait" r:id="rId1"/>
  <headerFooter>
    <oddFooter xml:space="preserve">&amp;C         Avenida Estados Unidos, Ed. Cidade de Aracaju, n° 258- Sala 403- Comércio Salvador/BA. E-mail: fenix.consultoria.assessoria@hotmail.com
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Ficha</vt:lpstr>
      <vt:lpstr>Contrato</vt:lpstr>
      <vt:lpstr>Promissória</vt:lpstr>
      <vt:lpstr>Ficha!Area_de_impressao</vt:lpstr>
    </vt:vector>
  </TitlesOfParts>
  <Company>Banco Bradesco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Banco Bradesco</dc:creator>
  <cp:lastModifiedBy>aguias01</cp:lastModifiedBy>
  <cp:lastPrinted>2021-05-18T14:28:40Z</cp:lastPrinted>
  <dcterms:created xsi:type="dcterms:W3CDTF">2017-05-09T16:57:13Z</dcterms:created>
  <dcterms:modified xsi:type="dcterms:W3CDTF">2021-07-13T18:11:38Z</dcterms:modified>
</cp:coreProperties>
</file>